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CE00624-9C5F-4750-8401-B60714389E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Avance cosecha" sheetId="1" r:id="rId1"/>
    <sheet name="Avance de siembra" sheetId="2" r:id="rId2"/>
    <sheet name="Hoja1" sheetId="3" r:id="rId3"/>
    <sheet name="Hoja2" sheetId="4" r:id="rId4"/>
  </sheets>
  <definedNames>
    <definedName name="_xlnm._FilterDatabase" localSheetId="0" hidden="1">'Avance cosecha'!$A$1:$O$45</definedName>
    <definedName name="_xlnm._FilterDatabase" localSheetId="1" hidden="1">'Avance de siembra'!$A$1:$I$54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2" l="1"/>
  <c r="E9" i="4"/>
  <c r="F9" i="4"/>
  <c r="F8" i="4"/>
  <c r="E8" i="4"/>
  <c r="D8" i="4"/>
  <c r="C8" i="4"/>
  <c r="E6" i="4"/>
  <c r="E7" i="4"/>
  <c r="E4" i="4"/>
  <c r="E3" i="4"/>
  <c r="M32" i="1"/>
  <c r="G64" i="1"/>
  <c r="H64" i="1" s="1"/>
  <c r="F64" i="1"/>
  <c r="G63" i="1"/>
  <c r="H63" i="1" s="1"/>
  <c r="F63" i="1"/>
  <c r="D63" i="1"/>
  <c r="C63" i="1"/>
  <c r="G62" i="1"/>
  <c r="F62" i="1"/>
  <c r="D62" i="1"/>
  <c r="C62" i="1"/>
  <c r="G61" i="1"/>
  <c r="F61" i="1"/>
  <c r="D61" i="1"/>
  <c r="C61" i="1"/>
  <c r="G60" i="1"/>
  <c r="H60" i="1" s="1"/>
  <c r="F60" i="1"/>
  <c r="D60" i="1"/>
  <c r="C60" i="1"/>
  <c r="G59" i="1"/>
  <c r="H59" i="1" s="1"/>
  <c r="F59" i="1"/>
  <c r="D59" i="1"/>
  <c r="C59" i="1"/>
  <c r="G58" i="1"/>
  <c r="F58" i="1"/>
  <c r="D58" i="1"/>
  <c r="C58" i="1"/>
  <c r="G57" i="1"/>
  <c r="F57" i="1"/>
  <c r="D57" i="1"/>
  <c r="C57" i="1"/>
  <c r="G56" i="1"/>
  <c r="F56" i="1"/>
  <c r="D56" i="1"/>
  <c r="C56" i="1"/>
  <c r="G55" i="1"/>
  <c r="F55" i="1"/>
  <c r="D55" i="1"/>
  <c r="C55" i="1"/>
  <c r="F51" i="1"/>
  <c r="E51" i="1"/>
  <c r="F50" i="1"/>
  <c r="E50" i="1"/>
  <c r="C50" i="1"/>
  <c r="B50" i="1"/>
  <c r="B51" i="1" s="1"/>
  <c r="F49" i="1"/>
  <c r="E49" i="1"/>
  <c r="C49" i="1"/>
  <c r="B49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C60" i="2"/>
  <c r="B60" i="2"/>
  <c r="C59" i="2"/>
  <c r="B59" i="2"/>
  <c r="C58" i="2"/>
  <c r="B58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D58" i="2" l="1"/>
  <c r="C72" i="2"/>
  <c r="E70" i="2"/>
  <c r="E69" i="2"/>
  <c r="E65" i="2"/>
  <c r="B61" i="2"/>
  <c r="C51" i="1"/>
  <c r="D51" i="1" s="1"/>
  <c r="H62" i="1"/>
  <c r="E60" i="1"/>
  <c r="C64" i="1"/>
  <c r="G50" i="1"/>
  <c r="E63" i="1"/>
  <c r="E57" i="1"/>
  <c r="E58" i="1"/>
  <c r="H50" i="1"/>
  <c r="I55" i="1"/>
  <c r="I58" i="1"/>
  <c r="I61" i="1"/>
  <c r="I56" i="1"/>
  <c r="G51" i="1"/>
  <c r="I57" i="1"/>
  <c r="G49" i="1"/>
  <c r="D64" i="1"/>
  <c r="E64" i="1" s="1"/>
  <c r="H57" i="1"/>
  <c r="I62" i="1"/>
  <c r="I60" i="1"/>
  <c r="E56" i="1"/>
  <c r="I63" i="1"/>
  <c r="E61" i="1"/>
  <c r="I59" i="1"/>
  <c r="H56" i="1"/>
  <c r="E62" i="1"/>
  <c r="E59" i="1"/>
  <c r="I64" i="1"/>
  <c r="E71" i="2"/>
  <c r="E66" i="2"/>
  <c r="D59" i="2"/>
  <c r="E68" i="2"/>
  <c r="D60" i="2"/>
  <c r="E67" i="2"/>
  <c r="H51" i="1"/>
  <c r="H61" i="1"/>
  <c r="C61" i="2"/>
  <c r="D61" i="2" s="1"/>
  <c r="D72" i="2"/>
  <c r="E72" i="2" s="1"/>
  <c r="H49" i="1"/>
  <c r="D50" i="1"/>
  <c r="E55" i="1"/>
  <c r="H58" i="1"/>
  <c r="D49" i="1"/>
  <c r="H55" i="1"/>
</calcChain>
</file>

<file path=xl/sharedStrings.xml><?xml version="1.0" encoding="utf-8"?>
<sst xmlns="http://schemas.openxmlformats.org/spreadsheetml/2006/main" count="579" uniqueCount="117">
  <si>
    <t>Campo</t>
  </si>
  <si>
    <t>Lote</t>
  </si>
  <si>
    <t>ha</t>
  </si>
  <si>
    <t>Cultivo 25-26</t>
  </si>
  <si>
    <t>Cult Invierno (antecesor)</t>
  </si>
  <si>
    <t xml:space="preserve">Cultivo Verano </t>
  </si>
  <si>
    <t>Variedades</t>
  </si>
  <si>
    <t>F. Siembra</t>
  </si>
  <si>
    <t xml:space="preserve">Sist. Siembra </t>
  </si>
  <si>
    <t>Estimación de rinde</t>
  </si>
  <si>
    <t>ha cosechadas</t>
  </si>
  <si>
    <t>Rinde real</t>
  </si>
  <si>
    <t>% avance</t>
  </si>
  <si>
    <t>desvio vs estimacion (kg)</t>
  </si>
  <si>
    <t>desvio vs estimación %</t>
  </si>
  <si>
    <t>Malacara</t>
  </si>
  <si>
    <t>CC/Sj1</t>
  </si>
  <si>
    <t>CC</t>
  </si>
  <si>
    <t>Sj1</t>
  </si>
  <si>
    <t>DM64e64</t>
  </si>
  <si>
    <t xml:space="preserve">Neumatica </t>
  </si>
  <si>
    <t>Tr/Sj2</t>
  </si>
  <si>
    <t>Tr</t>
  </si>
  <si>
    <t>Sj2</t>
  </si>
  <si>
    <t>DM60k60</t>
  </si>
  <si>
    <t xml:space="preserve">Chorrillo </t>
  </si>
  <si>
    <t>DM52e21</t>
  </si>
  <si>
    <t>Montecristo</t>
  </si>
  <si>
    <t>Cz/Sj2</t>
  </si>
  <si>
    <t>Cz</t>
  </si>
  <si>
    <t>Pereira</t>
  </si>
  <si>
    <t>Frente</t>
  </si>
  <si>
    <t>Fondo</t>
  </si>
  <si>
    <t>La Campana</t>
  </si>
  <si>
    <t>DM60K60</t>
  </si>
  <si>
    <t>San Luis</t>
  </si>
  <si>
    <t>La Blanqueada</t>
  </si>
  <si>
    <t>Ceb/Sj2</t>
  </si>
  <si>
    <t>Ceb</t>
  </si>
  <si>
    <t>Santa Rafaela</t>
  </si>
  <si>
    <t>Bellaco</t>
  </si>
  <si>
    <t>Chaniar sur</t>
  </si>
  <si>
    <t>Los Juanes</t>
  </si>
  <si>
    <t>Car/Sj2</t>
  </si>
  <si>
    <t>Car</t>
  </si>
  <si>
    <t>Manguera E</t>
  </si>
  <si>
    <t>Manguera w</t>
  </si>
  <si>
    <t>Nianiez</t>
  </si>
  <si>
    <t>Trillo</t>
  </si>
  <si>
    <t>Entrada</t>
  </si>
  <si>
    <t>Puesto</t>
  </si>
  <si>
    <t>RESUMEN AVANCE COSECHA – POR CULTIVO</t>
  </si>
  <si>
    <t>Cultivo</t>
  </si>
  <si>
    <t>Ha totales</t>
  </si>
  <si>
    <t>Ha cosechadas</t>
  </si>
  <si>
    <t>% Avance</t>
  </si>
  <si>
    <t>Est. rinde global
(kg/ha)</t>
  </si>
  <si>
    <t>Rinde real
prom. (kg/ha)</t>
  </si>
  <si>
    <t>Desvío
(kg/ha)</t>
  </si>
  <si>
    <t>Desvío
(%)</t>
  </si>
  <si>
    <t>TOTAL</t>
  </si>
  <si>
    <t>RESUMEN AVANCE COSECHA – POR CAMPO Y CULTIVO</t>
  </si>
  <si>
    <t>Lote Ceres</t>
  </si>
  <si>
    <t>Cult</t>
  </si>
  <si>
    <t xml:space="preserve">ha Sembradas </t>
  </si>
  <si>
    <t>Sin sembrar</t>
  </si>
  <si>
    <t xml:space="preserve">%Avance </t>
  </si>
  <si>
    <t>Altina</t>
  </si>
  <si>
    <t>Plantadora</t>
  </si>
  <si>
    <t>Dron</t>
  </si>
  <si>
    <t>Chaniar norte</t>
  </si>
  <si>
    <t>Manguera W</t>
  </si>
  <si>
    <t>RESUMEN AVANCE SIEMBRA – CULTIVOS DE INVIERNO (sin CC)</t>
  </si>
  <si>
    <t>Ha</t>
  </si>
  <si>
    <t>Ha sembradas</t>
  </si>
  <si>
    <t>Colza</t>
  </si>
  <si>
    <t>Trigo</t>
  </si>
  <si>
    <t>Cebada</t>
  </si>
  <si>
    <t>RESUMEN AVANCE SIEMBRA – POR CAMPO Y CULTIVO (sin CC)</t>
  </si>
  <si>
    <t>Rinde real (kg/ha)</t>
  </si>
  <si>
    <t>Est. Rinde (kg/ha)</t>
  </si>
  <si>
    <t>Desvío (kg/ha)</t>
  </si>
  <si>
    <t>Desvío (%)</t>
  </si>
  <si>
    <t>SOJA 1ra</t>
  </si>
  <si>
    <t>CAMPO</t>
  </si>
  <si>
    <t>Sup Sembrada</t>
  </si>
  <si>
    <t>Sup Cosechada</t>
  </si>
  <si>
    <t>%</t>
  </si>
  <si>
    <t>Sup sin cosechar</t>
  </si>
  <si>
    <t>Tn Secos</t>
  </si>
  <si>
    <t>qq/ha</t>
  </si>
  <si>
    <t>UY_EL MALACARA SOJA 1ra</t>
  </si>
  <si>
    <t>UY_LA CAMPANA SOJA 1ra</t>
  </si>
  <si>
    <t>Total general</t>
  </si>
  <si>
    <t>SOJA 2da</t>
  </si>
  <si>
    <t>UY_EL MALACARA SOJA 2da</t>
  </si>
  <si>
    <t>UY_LA BLANQUEADA SOJA 2da</t>
  </si>
  <si>
    <t>GLOBAL ZONA</t>
  </si>
  <si>
    <t>Presicion Planting</t>
  </si>
  <si>
    <t>Variedad</t>
  </si>
  <si>
    <t>Curry</t>
  </si>
  <si>
    <t>Hyola 575</t>
  </si>
  <si>
    <t>Curry/hyola 575</t>
  </si>
  <si>
    <t>Zona</t>
  </si>
  <si>
    <t>Salto</t>
  </si>
  <si>
    <t>Sembradoras</t>
  </si>
  <si>
    <t>Ancho total (m)</t>
  </si>
  <si>
    <t>Durazno</t>
  </si>
  <si>
    <t>Lit. Norte</t>
  </si>
  <si>
    <t>Siembra</t>
  </si>
  <si>
    <t>Tacuarembó</t>
  </si>
  <si>
    <t>Ruta 20</t>
  </si>
  <si>
    <t>Cosecha</t>
  </si>
  <si>
    <t>Cantidad</t>
  </si>
  <si>
    <t>Nuola300</t>
  </si>
  <si>
    <t>Araña</t>
  </si>
  <si>
    <t>Osiris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</si>
</sst>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0.0%"/>
    <numFmt numFmtId="166" formatCode="\+#,##0;\-#,##0;\-"/>
    <numFmt numFmtId="167" formatCode="\+0.0%;\-0.0%;\-"/>
    <numFmt numFmtId="168" formatCode="#,##0.0"/>
  </numFmts>
  <fonts count="17" x14ac:knownFonts="1">
    <font>
      <sz val="11"/>
      <color theme="1"/>
      <name val="Calibri"/>
      <family val="2"/>
      <charset val="1"/>
    </font>
    <font>
      <sz val="16"/>
      <name val="Arial"/>
      <family val="2"/>
      <charset val="1"/>
    </font>
    <font>
      <sz val="16"/>
      <name val="Calibri"/>
      <family val="2"/>
      <charset val="1"/>
    </font>
    <font>
      <sz val="16"/>
      <color rgb="FFC00000"/>
      <name val="Calibri"/>
      <family val="2"/>
      <charset val="1"/>
    </font>
    <font>
      <sz val="9"/>
      <name val="Calibri"/>
      <family val="2"/>
    </font>
    <font>
      <b/>
      <sz val="11"/>
      <color rgb="FF2E75B6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16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FFFF"/>
      <name val="Verdana"/>
      <family val="2"/>
    </font>
    <font>
      <sz val="10"/>
      <name val="Verdana"/>
    </font>
    <font>
      <sz val="10"/>
      <name val="Verdana"/>
      <family val="2"/>
    </font>
    <font>
      <b/>
      <sz val="10"/>
      <name val="Verdana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rgb="FFB7B7B7"/>
        <bgColor rgb="FFAAAAAA"/>
      </patternFill>
    </fill>
    <fill>
      <patternFill patternType="solid">
        <fgColor rgb="FFEDEDED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DEDED"/>
      </patternFill>
    </fill>
    <fill>
      <patternFill patternType="solid">
        <fgColor rgb="FFFFFFFF"/>
        <bgColor rgb="FFEDEDED"/>
      </patternFill>
    </fill>
    <fill>
      <patternFill patternType="solid">
        <fgColor rgb="FFD6DCE4"/>
        <bgColor rgb="FFDEEAF1"/>
      </patternFill>
    </fill>
    <fill>
      <patternFill patternType="solid">
        <fgColor rgb="FF0033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rgb="FFEDEDED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/>
    <xf numFmtId="0" fontId="6" fillId="5" borderId="1" xfId="0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8" fontId="7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7" fontId="7" fillId="8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68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8" fontId="10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166" fontId="10" fillId="7" borderId="1" xfId="0" applyNumberFormat="1" applyFont="1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8" fontId="11" fillId="8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167" fontId="11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vertical="center"/>
    </xf>
    <xf numFmtId="0" fontId="13" fillId="10" borderId="0" xfId="0" applyFont="1" applyFill="1" applyAlignment="1">
      <alignment vertical="center"/>
    </xf>
    <xf numFmtId="0" fontId="12" fillId="9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9" fontId="13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vertical="center"/>
    </xf>
    <xf numFmtId="9" fontId="12" fillId="9" borderId="3" xfId="0" applyNumberFormat="1" applyFont="1" applyFill="1" applyBorder="1" applyAlignment="1">
      <alignment horizontal="center" vertical="center"/>
    </xf>
    <xf numFmtId="3" fontId="12" fillId="9" borderId="3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" fontId="0" fillId="0" borderId="0" xfId="0" applyNumberFormat="1"/>
    <xf numFmtId="1" fontId="16" fillId="0" borderId="0" xfId="0" applyNumberFormat="1" applyFont="1"/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68" fontId="4" fillId="12" borderId="1" xfId="0" applyNumberFormat="1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DEDED"/>
      <rgbColor rgb="FFDEEAF1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49" zoomScaleNormal="100" workbookViewId="0">
      <selection activeCell="L67" sqref="L67"/>
    </sheetView>
  </sheetViews>
  <sheetFormatPr baseColWidth="10" defaultColWidth="11.42578125" defaultRowHeight="15" x14ac:dyDescent="0.25"/>
  <cols>
    <col min="1" max="1" width="14" style="1" customWidth="1"/>
    <col min="2" max="2" width="8" style="1" customWidth="1"/>
    <col min="3" max="3" width="13.140625" style="1" customWidth="1"/>
    <col min="4" max="4" width="17.42578125" style="1" customWidth="1"/>
    <col min="5" max="5" width="13.5703125" style="1" customWidth="1"/>
    <col min="6" max="6" width="17.85546875" style="1" customWidth="1"/>
    <col min="7" max="7" width="16.7109375" style="1" customWidth="1"/>
    <col min="8" max="8" width="17.28515625" style="1" customWidth="1"/>
    <col min="9" max="9" width="12.28515625" style="1" customWidth="1"/>
    <col min="10" max="11" width="12" style="1" customWidth="1"/>
    <col min="12" max="12" width="10" style="1" customWidth="1"/>
    <col min="13" max="13" width="8" style="1" customWidth="1"/>
    <col min="14" max="14" width="10" style="1" customWidth="1"/>
    <col min="15" max="15" width="8" style="1" customWidth="1"/>
    <col min="16" max="16384" width="11.42578125" style="1"/>
  </cols>
  <sheetData>
    <row r="1" spans="1:15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1" customHeight="1" x14ac:dyDescent="0.35">
      <c r="A2" s="4" t="s">
        <v>15</v>
      </c>
      <c r="B2" s="4">
        <v>1</v>
      </c>
      <c r="C2" s="4">
        <v>203.5</v>
      </c>
      <c r="D2" s="5" t="s">
        <v>16</v>
      </c>
      <c r="E2" s="6" t="s">
        <v>17</v>
      </c>
      <c r="F2" s="6" t="s">
        <v>18</v>
      </c>
      <c r="G2" s="4" t="s">
        <v>19</v>
      </c>
      <c r="H2" s="7">
        <v>45961</v>
      </c>
      <c r="I2" s="8" t="s">
        <v>20</v>
      </c>
      <c r="J2" s="1">
        <v>2500</v>
      </c>
      <c r="K2" s="1">
        <v>203.5</v>
      </c>
      <c r="L2" s="1">
        <v>2180</v>
      </c>
      <c r="M2" s="9">
        <f t="shared" ref="M2:M45" si="0">IF(C2&gt;0,K2/C2,"")</f>
        <v>1</v>
      </c>
      <c r="N2" s="10">
        <f t="shared" ref="N2:N45" si="1">IF(L2&lt;&gt;"",L2-J2,"")</f>
        <v>-320</v>
      </c>
      <c r="O2" s="11">
        <f t="shared" ref="O2:O45" si="2">IF(AND(L2&lt;&gt;"",J2&gt;0),(L2-J2)/J2,"")</f>
        <v>-0.128</v>
      </c>
    </row>
    <row r="3" spans="1:15" ht="21" customHeight="1" x14ac:dyDescent="0.35">
      <c r="A3" s="4" t="s">
        <v>15</v>
      </c>
      <c r="B3" s="4">
        <v>2</v>
      </c>
      <c r="C3" s="4">
        <v>215</v>
      </c>
      <c r="D3" s="5" t="s">
        <v>21</v>
      </c>
      <c r="E3" s="6" t="s">
        <v>22</v>
      </c>
      <c r="F3" s="6" t="s">
        <v>23</v>
      </c>
      <c r="G3" s="4" t="s">
        <v>24</v>
      </c>
      <c r="H3" s="7">
        <v>45993</v>
      </c>
      <c r="I3" s="8" t="s">
        <v>20</v>
      </c>
      <c r="J3" s="1">
        <v>1800</v>
      </c>
      <c r="K3" s="1">
        <v>215</v>
      </c>
      <c r="L3" s="1">
        <v>1792</v>
      </c>
      <c r="M3" s="9">
        <f t="shared" si="0"/>
        <v>1</v>
      </c>
      <c r="N3" s="10">
        <f t="shared" si="1"/>
        <v>-8</v>
      </c>
      <c r="O3" s="11">
        <f t="shared" si="2"/>
        <v>-4.4444444444444444E-3</v>
      </c>
    </row>
    <row r="4" spans="1:15" ht="21" customHeight="1" x14ac:dyDescent="0.35">
      <c r="A4" s="4" t="s">
        <v>15</v>
      </c>
      <c r="B4" s="4">
        <v>3</v>
      </c>
      <c r="C4" s="4">
        <v>46.14</v>
      </c>
      <c r="D4" s="5" t="s">
        <v>21</v>
      </c>
      <c r="E4" s="6" t="s">
        <v>22</v>
      </c>
      <c r="F4" s="6" t="s">
        <v>23</v>
      </c>
      <c r="G4" s="4" t="s">
        <v>24</v>
      </c>
      <c r="H4" s="7">
        <v>45989</v>
      </c>
      <c r="I4" s="8" t="s">
        <v>25</v>
      </c>
      <c r="J4" s="1">
        <v>1800</v>
      </c>
      <c r="K4" s="1">
        <v>46.14</v>
      </c>
      <c r="L4" s="1">
        <v>2075</v>
      </c>
      <c r="M4" s="9">
        <f t="shared" si="0"/>
        <v>1</v>
      </c>
      <c r="N4" s="10">
        <f t="shared" si="1"/>
        <v>275</v>
      </c>
      <c r="O4" s="11">
        <f t="shared" si="2"/>
        <v>0.15277777777777779</v>
      </c>
    </row>
    <row r="5" spans="1:15" ht="21" customHeight="1" x14ac:dyDescent="0.35">
      <c r="A5" s="4" t="s">
        <v>15</v>
      </c>
      <c r="B5" s="4">
        <v>7</v>
      </c>
      <c r="C5" s="4">
        <v>28.41</v>
      </c>
      <c r="D5" s="5" t="s">
        <v>21</v>
      </c>
      <c r="E5" s="6" t="s">
        <v>22</v>
      </c>
      <c r="F5" s="6" t="s">
        <v>23</v>
      </c>
      <c r="G5" s="4" t="s">
        <v>26</v>
      </c>
      <c r="H5" s="7">
        <v>45995</v>
      </c>
      <c r="I5" s="8" t="s">
        <v>20</v>
      </c>
      <c r="J5" s="1">
        <v>1800</v>
      </c>
      <c r="K5" s="1">
        <v>28.41</v>
      </c>
      <c r="L5" s="1">
        <v>1339</v>
      </c>
      <c r="M5" s="9">
        <f t="shared" si="0"/>
        <v>1</v>
      </c>
      <c r="N5" s="10">
        <f t="shared" si="1"/>
        <v>-461</v>
      </c>
      <c r="O5" s="11">
        <f t="shared" si="2"/>
        <v>-0.25611111111111112</v>
      </c>
    </row>
    <row r="6" spans="1:15" ht="21" customHeight="1" x14ac:dyDescent="0.35">
      <c r="A6" s="4" t="s">
        <v>15</v>
      </c>
      <c r="B6" s="4">
        <v>8</v>
      </c>
      <c r="C6" s="4">
        <v>22.55</v>
      </c>
      <c r="D6" s="5" t="s">
        <v>21</v>
      </c>
      <c r="E6" s="6" t="s">
        <v>22</v>
      </c>
      <c r="F6" s="6" t="s">
        <v>23</v>
      </c>
      <c r="G6" s="4" t="s">
        <v>26</v>
      </c>
      <c r="H6" s="7">
        <v>45995</v>
      </c>
      <c r="I6" s="8" t="s">
        <v>25</v>
      </c>
      <c r="J6" s="1">
        <v>1800</v>
      </c>
      <c r="K6" s="1">
        <v>22.55</v>
      </c>
      <c r="L6" s="1">
        <v>1153</v>
      </c>
      <c r="M6" s="9">
        <f t="shared" si="0"/>
        <v>1</v>
      </c>
      <c r="N6" s="10">
        <f t="shared" si="1"/>
        <v>-647</v>
      </c>
      <c r="O6" s="11">
        <f t="shared" si="2"/>
        <v>-0.35944444444444446</v>
      </c>
    </row>
    <row r="7" spans="1:15" ht="21" customHeight="1" x14ac:dyDescent="0.35">
      <c r="A7" s="4" t="s">
        <v>15</v>
      </c>
      <c r="B7" s="4">
        <v>9</v>
      </c>
      <c r="C7" s="4">
        <v>62.73</v>
      </c>
      <c r="D7" s="5" t="s">
        <v>21</v>
      </c>
      <c r="E7" s="6" t="s">
        <v>22</v>
      </c>
      <c r="F7" s="6" t="s">
        <v>23</v>
      </c>
      <c r="G7" s="4" t="s">
        <v>26</v>
      </c>
      <c r="H7" s="7">
        <v>45994</v>
      </c>
      <c r="I7" s="8" t="s">
        <v>25</v>
      </c>
      <c r="J7" s="1">
        <v>1800</v>
      </c>
      <c r="K7" s="1">
        <v>62.73</v>
      </c>
      <c r="L7" s="1">
        <v>1563</v>
      </c>
      <c r="M7" s="9">
        <f t="shared" si="0"/>
        <v>1</v>
      </c>
      <c r="N7" s="10">
        <f t="shared" si="1"/>
        <v>-237</v>
      </c>
      <c r="O7" s="11">
        <f t="shared" si="2"/>
        <v>-0.13166666666666665</v>
      </c>
    </row>
    <row r="8" spans="1:15" ht="21" customHeight="1" x14ac:dyDescent="0.35">
      <c r="A8" s="4" t="s">
        <v>15</v>
      </c>
      <c r="B8" s="4">
        <v>10</v>
      </c>
      <c r="C8" s="4">
        <v>29.7</v>
      </c>
      <c r="D8" s="5" t="s">
        <v>21</v>
      </c>
      <c r="E8" s="6" t="s">
        <v>22</v>
      </c>
      <c r="F8" s="6" t="s">
        <v>23</v>
      </c>
      <c r="G8" s="4" t="s">
        <v>26</v>
      </c>
      <c r="H8" s="7">
        <v>45996</v>
      </c>
      <c r="I8" s="8" t="s">
        <v>20</v>
      </c>
      <c r="J8" s="1">
        <v>1800</v>
      </c>
      <c r="K8" s="1">
        <v>29.7</v>
      </c>
      <c r="L8" s="1">
        <v>1723</v>
      </c>
      <c r="M8" s="9">
        <f t="shared" si="0"/>
        <v>1</v>
      </c>
      <c r="N8" s="10">
        <f t="shared" si="1"/>
        <v>-77</v>
      </c>
      <c r="O8" s="11">
        <f t="shared" si="2"/>
        <v>-4.2777777777777776E-2</v>
      </c>
    </row>
    <row r="9" spans="1:15" ht="21" customHeight="1" x14ac:dyDescent="0.35">
      <c r="A9" s="4" t="s">
        <v>15</v>
      </c>
      <c r="B9" s="4">
        <v>11</v>
      </c>
      <c r="C9" s="4">
        <v>270.44</v>
      </c>
      <c r="D9" s="5" t="s">
        <v>21</v>
      </c>
      <c r="E9" s="6" t="s">
        <v>22</v>
      </c>
      <c r="F9" s="6" t="s">
        <v>23</v>
      </c>
      <c r="G9" s="4" t="s">
        <v>24</v>
      </c>
      <c r="H9" s="7">
        <v>45981</v>
      </c>
      <c r="I9" s="8" t="s">
        <v>20</v>
      </c>
      <c r="J9" s="1">
        <v>1800</v>
      </c>
      <c r="K9" s="1">
        <v>270.44</v>
      </c>
      <c r="L9" s="1">
        <v>1284</v>
      </c>
      <c r="M9" s="9">
        <f t="shared" si="0"/>
        <v>1</v>
      </c>
      <c r="N9" s="10">
        <f t="shared" si="1"/>
        <v>-516</v>
      </c>
      <c r="O9" s="11">
        <f t="shared" si="2"/>
        <v>-0.28666666666666668</v>
      </c>
    </row>
    <row r="10" spans="1:15" ht="21" customHeight="1" x14ac:dyDescent="0.35">
      <c r="A10" s="4" t="s">
        <v>15</v>
      </c>
      <c r="B10" s="4">
        <v>12</v>
      </c>
      <c r="C10" s="4">
        <v>64.239999999999995</v>
      </c>
      <c r="D10" s="5" t="s">
        <v>21</v>
      </c>
      <c r="E10" s="6" t="s">
        <v>22</v>
      </c>
      <c r="F10" s="6" t="s">
        <v>23</v>
      </c>
      <c r="G10" s="4" t="s">
        <v>24</v>
      </c>
      <c r="H10" s="7">
        <v>45986</v>
      </c>
      <c r="I10" s="8" t="s">
        <v>20</v>
      </c>
      <c r="J10" s="1">
        <v>1800</v>
      </c>
      <c r="K10" s="1">
        <v>64.239999999999995</v>
      </c>
      <c r="L10" s="1">
        <v>1355</v>
      </c>
      <c r="M10" s="9">
        <f t="shared" si="0"/>
        <v>1</v>
      </c>
      <c r="N10" s="10">
        <f t="shared" si="1"/>
        <v>-445</v>
      </c>
      <c r="O10" s="11">
        <f t="shared" si="2"/>
        <v>-0.24722222222222223</v>
      </c>
    </row>
    <row r="11" spans="1:15" ht="21" customHeight="1" x14ac:dyDescent="0.35">
      <c r="A11" s="4" t="s">
        <v>15</v>
      </c>
      <c r="B11" s="4">
        <v>13</v>
      </c>
      <c r="C11" s="4">
        <v>29.89</v>
      </c>
      <c r="D11" s="5" t="s">
        <v>21</v>
      </c>
      <c r="E11" s="6" t="s">
        <v>22</v>
      </c>
      <c r="F11" s="6" t="s">
        <v>23</v>
      </c>
      <c r="G11" s="4" t="s">
        <v>24</v>
      </c>
      <c r="H11" s="7">
        <v>45986</v>
      </c>
      <c r="I11" s="8" t="s">
        <v>25</v>
      </c>
      <c r="J11" s="1">
        <v>1800</v>
      </c>
      <c r="K11" s="1">
        <v>29.89</v>
      </c>
      <c r="L11" s="1">
        <v>1392</v>
      </c>
      <c r="M11" s="9">
        <f t="shared" si="0"/>
        <v>1</v>
      </c>
      <c r="N11" s="10">
        <f t="shared" si="1"/>
        <v>-408</v>
      </c>
      <c r="O11" s="11">
        <f t="shared" si="2"/>
        <v>-0.22666666666666666</v>
      </c>
    </row>
    <row r="12" spans="1:15" ht="21" customHeight="1" x14ac:dyDescent="0.35">
      <c r="A12" s="4" t="s">
        <v>27</v>
      </c>
      <c r="B12" s="4">
        <v>6</v>
      </c>
      <c r="C12" s="4">
        <v>52.63</v>
      </c>
      <c r="D12" s="5" t="s">
        <v>21</v>
      </c>
      <c r="E12" s="6" t="s">
        <v>22</v>
      </c>
      <c r="F12" s="6" t="s">
        <v>23</v>
      </c>
      <c r="G12" s="4" t="s">
        <v>26</v>
      </c>
      <c r="H12" s="7">
        <v>45994</v>
      </c>
      <c r="I12" s="8" t="s">
        <v>25</v>
      </c>
      <c r="J12" s="1">
        <v>1800</v>
      </c>
      <c r="K12" s="1">
        <v>52.63</v>
      </c>
      <c r="L12" s="1">
        <v>1153</v>
      </c>
      <c r="M12" s="9">
        <f t="shared" si="0"/>
        <v>1</v>
      </c>
      <c r="N12" s="10">
        <f t="shared" si="1"/>
        <v>-647</v>
      </c>
      <c r="O12" s="11">
        <f t="shared" si="2"/>
        <v>-0.35944444444444446</v>
      </c>
    </row>
    <row r="13" spans="1:15" ht="21" customHeight="1" x14ac:dyDescent="0.35">
      <c r="A13" s="4" t="s">
        <v>27</v>
      </c>
      <c r="B13" s="4">
        <v>7</v>
      </c>
      <c r="C13" s="4">
        <v>60.61</v>
      </c>
      <c r="D13" s="5" t="s">
        <v>28</v>
      </c>
      <c r="E13" s="6" t="s">
        <v>29</v>
      </c>
      <c r="F13" s="6" t="s">
        <v>23</v>
      </c>
      <c r="G13" s="4" t="s">
        <v>19</v>
      </c>
      <c r="H13" s="7">
        <v>45962</v>
      </c>
      <c r="I13" s="8" t="s">
        <v>25</v>
      </c>
      <c r="J13" s="1">
        <v>1800</v>
      </c>
      <c r="K13" s="1">
        <v>60.61</v>
      </c>
      <c r="L13" s="1">
        <v>1362</v>
      </c>
      <c r="M13" s="9">
        <f t="shared" si="0"/>
        <v>1</v>
      </c>
      <c r="N13" s="10">
        <f t="shared" si="1"/>
        <v>-438</v>
      </c>
      <c r="O13" s="11">
        <f t="shared" si="2"/>
        <v>-0.24333333333333335</v>
      </c>
    </row>
    <row r="14" spans="1:15" ht="21" customHeight="1" x14ac:dyDescent="0.35">
      <c r="A14" s="4" t="s">
        <v>27</v>
      </c>
      <c r="B14" s="4">
        <v>11</v>
      </c>
      <c r="C14" s="4">
        <v>56.69</v>
      </c>
      <c r="D14" s="5" t="s">
        <v>28</v>
      </c>
      <c r="E14" s="6" t="s">
        <v>29</v>
      </c>
      <c r="F14" s="6" t="s">
        <v>23</v>
      </c>
      <c r="G14" s="4" t="s">
        <v>19</v>
      </c>
      <c r="H14" s="7">
        <v>45964</v>
      </c>
      <c r="I14" s="8" t="s">
        <v>25</v>
      </c>
      <c r="J14" s="1">
        <v>1700</v>
      </c>
      <c r="K14" s="1">
        <v>56.69</v>
      </c>
      <c r="L14" s="1">
        <v>1390</v>
      </c>
      <c r="M14" s="9">
        <f t="shared" si="0"/>
        <v>1</v>
      </c>
      <c r="N14" s="10">
        <f t="shared" si="1"/>
        <v>-310</v>
      </c>
      <c r="O14" s="11">
        <f t="shared" si="2"/>
        <v>-0.18235294117647058</v>
      </c>
    </row>
    <row r="15" spans="1:15" ht="21" customHeight="1" x14ac:dyDescent="0.35">
      <c r="A15" s="4" t="s">
        <v>27</v>
      </c>
      <c r="B15" s="4">
        <v>12</v>
      </c>
      <c r="C15" s="4">
        <v>49.78</v>
      </c>
      <c r="D15" s="5" t="s">
        <v>28</v>
      </c>
      <c r="E15" s="6" t="s">
        <v>29</v>
      </c>
      <c r="F15" s="6" t="s">
        <v>23</v>
      </c>
      <c r="G15" s="4" t="s">
        <v>19</v>
      </c>
      <c r="H15" s="7">
        <v>45965</v>
      </c>
      <c r="I15" s="8" t="s">
        <v>25</v>
      </c>
      <c r="J15" s="1">
        <v>1800</v>
      </c>
      <c r="K15" s="1">
        <v>49.78</v>
      </c>
      <c r="L15" s="1">
        <v>1270</v>
      </c>
      <c r="M15" s="9">
        <f t="shared" si="0"/>
        <v>1</v>
      </c>
      <c r="N15" s="10">
        <f t="shared" si="1"/>
        <v>-530</v>
      </c>
      <c r="O15" s="11">
        <f t="shared" si="2"/>
        <v>-0.29444444444444445</v>
      </c>
    </row>
    <row r="16" spans="1:15" ht="21" customHeight="1" x14ac:dyDescent="0.35">
      <c r="A16" s="4" t="s">
        <v>27</v>
      </c>
      <c r="B16" s="4">
        <v>13</v>
      </c>
      <c r="C16" s="4">
        <v>26.67</v>
      </c>
      <c r="D16" s="5" t="s">
        <v>28</v>
      </c>
      <c r="E16" s="6" t="s">
        <v>29</v>
      </c>
      <c r="F16" s="6" t="s">
        <v>23</v>
      </c>
      <c r="G16" s="4" t="s">
        <v>24</v>
      </c>
      <c r="H16" s="7">
        <v>45966</v>
      </c>
      <c r="I16" s="8" t="s">
        <v>25</v>
      </c>
      <c r="J16" s="1">
        <v>1600</v>
      </c>
      <c r="K16" s="1">
        <v>26.67</v>
      </c>
      <c r="L16" s="1">
        <v>800</v>
      </c>
      <c r="M16" s="9">
        <f t="shared" si="0"/>
        <v>1</v>
      </c>
      <c r="N16" s="10">
        <f t="shared" si="1"/>
        <v>-800</v>
      </c>
      <c r="O16" s="11">
        <f t="shared" si="2"/>
        <v>-0.5</v>
      </c>
    </row>
    <row r="17" spans="1:15" ht="21" customHeight="1" x14ac:dyDescent="0.35">
      <c r="A17" s="4" t="s">
        <v>27</v>
      </c>
      <c r="B17" s="4">
        <v>14</v>
      </c>
      <c r="C17" s="4">
        <v>33.96</v>
      </c>
      <c r="D17" s="5" t="s">
        <v>28</v>
      </c>
      <c r="E17" s="6" t="s">
        <v>29</v>
      </c>
      <c r="F17" s="6" t="s">
        <v>23</v>
      </c>
      <c r="G17" s="4" t="s">
        <v>24</v>
      </c>
      <c r="H17" s="7">
        <v>45966</v>
      </c>
      <c r="I17" s="8" t="s">
        <v>25</v>
      </c>
      <c r="J17" s="1">
        <v>1600</v>
      </c>
      <c r="K17" s="1">
        <v>23</v>
      </c>
      <c r="L17" s="1">
        <v>850</v>
      </c>
      <c r="M17" s="9">
        <f t="shared" si="0"/>
        <v>0.67726737338044762</v>
      </c>
      <c r="N17" s="10">
        <f t="shared" si="1"/>
        <v>-750</v>
      </c>
      <c r="O17" s="11">
        <f t="shared" si="2"/>
        <v>-0.46875</v>
      </c>
    </row>
    <row r="18" spans="1:15" ht="21" customHeight="1" x14ac:dyDescent="0.35">
      <c r="A18" s="4" t="s">
        <v>27</v>
      </c>
      <c r="B18" s="4">
        <v>16</v>
      </c>
      <c r="C18" s="4">
        <v>91.46</v>
      </c>
      <c r="D18" s="5" t="s">
        <v>28</v>
      </c>
      <c r="E18" s="6" t="s">
        <v>29</v>
      </c>
      <c r="F18" s="6" t="s">
        <v>23</v>
      </c>
      <c r="G18" s="4" t="s">
        <v>24</v>
      </c>
      <c r="H18" s="7">
        <v>45967</v>
      </c>
      <c r="I18" s="8" t="s">
        <v>25</v>
      </c>
      <c r="J18" s="1">
        <v>1800</v>
      </c>
      <c r="M18" s="9">
        <f t="shared" si="0"/>
        <v>0</v>
      </c>
      <c r="N18" s="10" t="str">
        <f t="shared" si="1"/>
        <v/>
      </c>
      <c r="O18" s="11" t="str">
        <f t="shared" si="2"/>
        <v/>
      </c>
    </row>
    <row r="19" spans="1:15" ht="21" customHeight="1" x14ac:dyDescent="0.35">
      <c r="A19" s="4" t="s">
        <v>30</v>
      </c>
      <c r="B19" s="4" t="s">
        <v>31</v>
      </c>
      <c r="C19" s="4">
        <v>112</v>
      </c>
      <c r="D19" s="5" t="s">
        <v>28</v>
      </c>
      <c r="E19" s="6" t="s">
        <v>29</v>
      </c>
      <c r="F19" s="6" t="s">
        <v>23</v>
      </c>
      <c r="G19" s="4" t="s">
        <v>24</v>
      </c>
      <c r="H19" s="7">
        <v>45980</v>
      </c>
      <c r="I19" s="8" t="s">
        <v>25</v>
      </c>
      <c r="J19" s="1">
        <v>1900</v>
      </c>
      <c r="K19" s="1">
        <v>112</v>
      </c>
      <c r="L19" s="1">
        <v>1470</v>
      </c>
      <c r="M19" s="9">
        <f t="shared" si="0"/>
        <v>1</v>
      </c>
      <c r="N19" s="10">
        <f t="shared" si="1"/>
        <v>-430</v>
      </c>
      <c r="O19" s="11">
        <f t="shared" si="2"/>
        <v>-0.22631578947368422</v>
      </c>
    </row>
    <row r="20" spans="1:15" ht="21" customHeight="1" x14ac:dyDescent="0.35">
      <c r="A20" s="4" t="s">
        <v>30</v>
      </c>
      <c r="B20" s="4" t="s">
        <v>32</v>
      </c>
      <c r="C20" s="4">
        <v>190</v>
      </c>
      <c r="D20" s="5" t="s">
        <v>28</v>
      </c>
      <c r="E20" s="6" t="s">
        <v>29</v>
      </c>
      <c r="F20" s="6" t="s">
        <v>23</v>
      </c>
      <c r="G20" s="4" t="s">
        <v>24</v>
      </c>
      <c r="H20" s="7">
        <v>45975</v>
      </c>
      <c r="I20" s="8" t="s">
        <v>25</v>
      </c>
      <c r="J20" s="1">
        <v>1900</v>
      </c>
      <c r="K20" s="1">
        <v>190</v>
      </c>
      <c r="L20" s="1">
        <v>1470</v>
      </c>
      <c r="M20" s="9">
        <f t="shared" si="0"/>
        <v>1</v>
      </c>
      <c r="N20" s="10">
        <f t="shared" si="1"/>
        <v>-430</v>
      </c>
      <c r="O20" s="11">
        <f t="shared" si="2"/>
        <v>-0.22631578947368422</v>
      </c>
    </row>
    <row r="21" spans="1:15" ht="21" customHeight="1" x14ac:dyDescent="0.35">
      <c r="A21" s="4" t="s">
        <v>33</v>
      </c>
      <c r="B21" s="4">
        <v>1</v>
      </c>
      <c r="C21" s="4">
        <v>58.59</v>
      </c>
      <c r="D21" s="5" t="s">
        <v>16</v>
      </c>
      <c r="E21" s="6" t="s">
        <v>17</v>
      </c>
      <c r="F21" s="6" t="s">
        <v>18</v>
      </c>
      <c r="G21" s="4" t="s">
        <v>19</v>
      </c>
      <c r="H21" s="7">
        <v>45960</v>
      </c>
      <c r="I21" s="8" t="s">
        <v>25</v>
      </c>
      <c r="J21" s="1">
        <v>1700</v>
      </c>
      <c r="K21" s="1">
        <v>58.59</v>
      </c>
      <c r="L21" s="1">
        <v>1250</v>
      </c>
      <c r="M21" s="9">
        <f t="shared" si="0"/>
        <v>1</v>
      </c>
      <c r="N21" s="10">
        <f t="shared" si="1"/>
        <v>-450</v>
      </c>
      <c r="O21" s="11">
        <f t="shared" si="2"/>
        <v>-0.26470588235294118</v>
      </c>
    </row>
    <row r="22" spans="1:15" ht="21" customHeight="1" x14ac:dyDescent="0.35">
      <c r="A22" s="4" t="s">
        <v>33</v>
      </c>
      <c r="B22" s="4">
        <v>2</v>
      </c>
      <c r="C22" s="4">
        <v>40.99</v>
      </c>
      <c r="D22" s="5" t="s">
        <v>16</v>
      </c>
      <c r="E22" s="6" t="s">
        <v>17</v>
      </c>
      <c r="F22" s="6" t="s">
        <v>18</v>
      </c>
      <c r="G22" s="4" t="s">
        <v>19</v>
      </c>
      <c r="H22" s="7">
        <v>45961</v>
      </c>
      <c r="I22" s="8" t="s">
        <v>25</v>
      </c>
      <c r="J22" s="1">
        <v>1700</v>
      </c>
      <c r="K22" s="1">
        <v>40.99</v>
      </c>
      <c r="L22" s="1">
        <v>1527</v>
      </c>
      <c r="M22" s="9">
        <f t="shared" si="0"/>
        <v>1</v>
      </c>
      <c r="N22" s="10">
        <f t="shared" si="1"/>
        <v>-173</v>
      </c>
      <c r="O22" s="11">
        <f t="shared" si="2"/>
        <v>-0.10176470588235294</v>
      </c>
    </row>
    <row r="23" spans="1:15" ht="21" customHeight="1" x14ac:dyDescent="0.35">
      <c r="A23" s="4" t="s">
        <v>33</v>
      </c>
      <c r="B23" s="4">
        <v>3</v>
      </c>
      <c r="C23" s="4">
        <v>63.11</v>
      </c>
      <c r="D23" s="5" t="s">
        <v>16</v>
      </c>
      <c r="E23" s="6" t="s">
        <v>17</v>
      </c>
      <c r="F23" s="6" t="s">
        <v>18</v>
      </c>
      <c r="G23" s="4" t="s">
        <v>19</v>
      </c>
      <c r="H23" s="7">
        <v>45959</v>
      </c>
      <c r="I23" s="8" t="s">
        <v>25</v>
      </c>
      <c r="J23" s="1">
        <v>1700</v>
      </c>
      <c r="K23" s="1">
        <v>63.11</v>
      </c>
      <c r="L23" s="1">
        <v>1010</v>
      </c>
      <c r="M23" s="9">
        <f t="shared" si="0"/>
        <v>1</v>
      </c>
      <c r="N23" s="10">
        <f t="shared" si="1"/>
        <v>-690</v>
      </c>
      <c r="O23" s="11">
        <f t="shared" si="2"/>
        <v>-0.40588235294117647</v>
      </c>
    </row>
    <row r="24" spans="1:15" ht="21" customHeight="1" x14ac:dyDescent="0.35">
      <c r="A24" s="4" t="s">
        <v>33</v>
      </c>
      <c r="B24" s="4">
        <v>4</v>
      </c>
      <c r="C24" s="4">
        <v>71.48</v>
      </c>
      <c r="D24" s="5" t="s">
        <v>16</v>
      </c>
      <c r="E24" s="6" t="s">
        <v>17</v>
      </c>
      <c r="F24" s="6" t="s">
        <v>18</v>
      </c>
      <c r="G24" s="4" t="s">
        <v>19</v>
      </c>
      <c r="H24" s="7">
        <v>45958</v>
      </c>
      <c r="I24" s="8" t="s">
        <v>25</v>
      </c>
      <c r="J24" s="1">
        <v>1700</v>
      </c>
      <c r="K24" s="1">
        <v>71.48</v>
      </c>
      <c r="L24" s="1">
        <v>1290</v>
      </c>
      <c r="M24" s="9">
        <f t="shared" si="0"/>
        <v>1</v>
      </c>
      <c r="N24" s="10">
        <f t="shared" si="1"/>
        <v>-410</v>
      </c>
      <c r="O24" s="11">
        <f t="shared" si="2"/>
        <v>-0.2411764705882353</v>
      </c>
    </row>
    <row r="25" spans="1:15" ht="21" customHeight="1" x14ac:dyDescent="0.35">
      <c r="A25" s="4" t="s">
        <v>33</v>
      </c>
      <c r="B25" s="4">
        <v>5</v>
      </c>
      <c r="C25" s="4">
        <v>67.739999999999995</v>
      </c>
      <c r="D25" s="5" t="s">
        <v>21</v>
      </c>
      <c r="E25" s="6" t="s">
        <v>22</v>
      </c>
      <c r="F25" s="6" t="s">
        <v>23</v>
      </c>
      <c r="G25" s="4" t="s">
        <v>24</v>
      </c>
      <c r="H25" s="7">
        <v>45988</v>
      </c>
      <c r="I25" s="8" t="s">
        <v>25</v>
      </c>
      <c r="J25" s="1">
        <v>1800</v>
      </c>
      <c r="K25" s="1">
        <v>67.739999999999995</v>
      </c>
      <c r="L25" s="1">
        <v>1670</v>
      </c>
      <c r="M25" s="9">
        <f t="shared" si="0"/>
        <v>1</v>
      </c>
      <c r="N25" s="10">
        <f t="shared" si="1"/>
        <v>-130</v>
      </c>
      <c r="O25" s="11">
        <f t="shared" si="2"/>
        <v>-7.2222222222222215E-2</v>
      </c>
    </row>
    <row r="26" spans="1:15" ht="21" customHeight="1" x14ac:dyDescent="0.35">
      <c r="A26" s="4" t="s">
        <v>33</v>
      </c>
      <c r="B26" s="4">
        <v>6</v>
      </c>
      <c r="C26" s="4">
        <v>24.52</v>
      </c>
      <c r="D26" s="5" t="s">
        <v>21</v>
      </c>
      <c r="E26" s="6" t="s">
        <v>22</v>
      </c>
      <c r="F26" s="6" t="s">
        <v>23</v>
      </c>
      <c r="G26" s="4" t="s">
        <v>34</v>
      </c>
      <c r="H26" s="7">
        <v>45988</v>
      </c>
      <c r="I26" s="8" t="s">
        <v>25</v>
      </c>
      <c r="J26" s="1">
        <v>1800</v>
      </c>
      <c r="K26" s="1">
        <v>24.52</v>
      </c>
      <c r="L26" s="1">
        <v>1220</v>
      </c>
      <c r="M26" s="9">
        <f t="shared" si="0"/>
        <v>1</v>
      </c>
      <c r="N26" s="10">
        <f t="shared" si="1"/>
        <v>-580</v>
      </c>
      <c r="O26" s="11">
        <f t="shared" si="2"/>
        <v>-0.32222222222222224</v>
      </c>
    </row>
    <row r="27" spans="1:15" ht="21" customHeight="1" x14ac:dyDescent="0.35">
      <c r="A27" s="4" t="s">
        <v>33</v>
      </c>
      <c r="B27" s="4">
        <v>11</v>
      </c>
      <c r="C27" s="4">
        <v>31</v>
      </c>
      <c r="D27" s="5" t="s">
        <v>16</v>
      </c>
      <c r="E27" s="6" t="s">
        <v>17</v>
      </c>
      <c r="F27" s="6" t="s">
        <v>18</v>
      </c>
      <c r="G27" s="4" t="s">
        <v>19</v>
      </c>
      <c r="H27" s="7">
        <v>45959</v>
      </c>
      <c r="I27" s="8" t="s">
        <v>25</v>
      </c>
      <c r="J27" s="1">
        <v>1700</v>
      </c>
      <c r="K27" s="1">
        <v>31</v>
      </c>
      <c r="L27" s="1">
        <v>1000</v>
      </c>
      <c r="M27" s="9">
        <f t="shared" si="0"/>
        <v>1</v>
      </c>
      <c r="N27" s="10">
        <f t="shared" si="1"/>
        <v>-700</v>
      </c>
      <c r="O27" s="11">
        <f t="shared" si="2"/>
        <v>-0.41176470588235292</v>
      </c>
    </row>
    <row r="28" spans="1:15" ht="21" customHeight="1" x14ac:dyDescent="0.35">
      <c r="A28" s="4" t="s">
        <v>33</v>
      </c>
      <c r="B28" s="4">
        <v>12</v>
      </c>
      <c r="C28" s="4">
        <v>67</v>
      </c>
      <c r="D28" s="5" t="s">
        <v>21</v>
      </c>
      <c r="E28" s="6" t="s">
        <v>22</v>
      </c>
      <c r="F28" s="6" t="s">
        <v>23</v>
      </c>
      <c r="G28" s="4" t="s">
        <v>24</v>
      </c>
      <c r="H28" s="7">
        <v>45986</v>
      </c>
      <c r="I28" s="8" t="s">
        <v>25</v>
      </c>
      <c r="J28" s="1">
        <v>1800</v>
      </c>
      <c r="K28" s="1">
        <v>67</v>
      </c>
      <c r="L28" s="1">
        <v>1250</v>
      </c>
      <c r="M28" s="9">
        <f t="shared" si="0"/>
        <v>1</v>
      </c>
      <c r="N28" s="10">
        <f t="shared" si="1"/>
        <v>-550</v>
      </c>
      <c r="O28" s="11">
        <f t="shared" si="2"/>
        <v>-0.30555555555555558</v>
      </c>
    </row>
    <row r="29" spans="1:15" ht="21" customHeight="1" x14ac:dyDescent="0.35">
      <c r="A29" s="4" t="s">
        <v>35</v>
      </c>
      <c r="B29" s="4">
        <v>2</v>
      </c>
      <c r="C29" s="4">
        <v>141.69999999999999</v>
      </c>
      <c r="D29" s="5" t="s">
        <v>21</v>
      </c>
      <c r="E29" s="6" t="s">
        <v>22</v>
      </c>
      <c r="F29" s="6" t="s">
        <v>23</v>
      </c>
      <c r="G29" s="4" t="s">
        <v>24</v>
      </c>
      <c r="H29" s="7">
        <v>45992</v>
      </c>
      <c r="I29" s="8" t="s">
        <v>25</v>
      </c>
      <c r="J29" s="1">
        <v>1900</v>
      </c>
      <c r="K29" s="1">
        <v>141.69999999999999</v>
      </c>
      <c r="L29" s="1">
        <v>1920</v>
      </c>
      <c r="M29" s="9">
        <f t="shared" si="0"/>
        <v>1</v>
      </c>
      <c r="N29" s="10">
        <f t="shared" si="1"/>
        <v>20</v>
      </c>
      <c r="O29" s="11">
        <f t="shared" si="2"/>
        <v>1.0526315789473684E-2</v>
      </c>
    </row>
    <row r="30" spans="1:15" ht="21" customHeight="1" x14ac:dyDescent="0.35">
      <c r="A30" s="4" t="s">
        <v>36</v>
      </c>
      <c r="B30" s="4">
        <v>7</v>
      </c>
      <c r="C30" s="4">
        <v>46.79</v>
      </c>
      <c r="D30" s="5" t="s">
        <v>37</v>
      </c>
      <c r="E30" s="6" t="s">
        <v>38</v>
      </c>
      <c r="F30" s="6" t="s">
        <v>23</v>
      </c>
      <c r="G30" s="4" t="s">
        <v>26</v>
      </c>
      <c r="H30" s="7">
        <v>45995</v>
      </c>
      <c r="I30" s="8" t="s">
        <v>20</v>
      </c>
      <c r="J30" s="1">
        <v>1900</v>
      </c>
      <c r="K30" s="1">
        <v>46.79</v>
      </c>
      <c r="L30" s="1">
        <v>1274</v>
      </c>
      <c r="M30" s="9">
        <f t="shared" si="0"/>
        <v>1</v>
      </c>
      <c r="N30" s="10">
        <f t="shared" si="1"/>
        <v>-626</v>
      </c>
      <c r="O30" s="11">
        <f t="shared" si="2"/>
        <v>-0.32947368421052631</v>
      </c>
    </row>
    <row r="31" spans="1:15" ht="21" customHeight="1" x14ac:dyDescent="0.35">
      <c r="A31" s="4" t="s">
        <v>36</v>
      </c>
      <c r="B31" s="4">
        <v>8</v>
      </c>
      <c r="C31" s="4">
        <v>59.05</v>
      </c>
      <c r="D31" s="5" t="s">
        <v>37</v>
      </c>
      <c r="E31" s="6" t="s">
        <v>38</v>
      </c>
      <c r="F31" s="6" t="s">
        <v>23</v>
      </c>
      <c r="G31" s="4" t="s">
        <v>26</v>
      </c>
      <c r="H31" s="7">
        <v>45995</v>
      </c>
      <c r="I31" s="8" t="s">
        <v>25</v>
      </c>
      <c r="J31" s="1">
        <v>1900</v>
      </c>
      <c r="K31" s="1">
        <v>59.05</v>
      </c>
      <c r="L31" s="1">
        <v>1130</v>
      </c>
      <c r="M31" s="9">
        <f t="shared" si="0"/>
        <v>1</v>
      </c>
      <c r="N31" s="10">
        <f t="shared" si="1"/>
        <v>-770</v>
      </c>
      <c r="O31" s="11">
        <f t="shared" si="2"/>
        <v>-0.40526315789473683</v>
      </c>
    </row>
    <row r="32" spans="1:15" ht="21" customHeight="1" x14ac:dyDescent="0.35">
      <c r="A32" s="4" t="s">
        <v>36</v>
      </c>
      <c r="B32" s="4">
        <v>9</v>
      </c>
      <c r="C32" s="4">
        <v>103.45</v>
      </c>
      <c r="D32" s="5" t="s">
        <v>37</v>
      </c>
      <c r="E32" s="6" t="s">
        <v>38</v>
      </c>
      <c r="F32" s="6" t="s">
        <v>23</v>
      </c>
      <c r="G32" s="4" t="s">
        <v>26</v>
      </c>
      <c r="H32" s="7">
        <v>45995</v>
      </c>
      <c r="I32" s="8" t="s">
        <v>20</v>
      </c>
      <c r="J32" s="1">
        <v>1900</v>
      </c>
      <c r="K32" s="1">
        <v>103.5</v>
      </c>
      <c r="L32" s="1">
        <v>1560</v>
      </c>
      <c r="M32" s="9">
        <f>IF(C32&gt;0,K32/C32,"")</f>
        <v>1.000483325277912</v>
      </c>
      <c r="N32" s="10">
        <f t="shared" si="1"/>
        <v>-340</v>
      </c>
      <c r="O32" s="11">
        <f t="shared" si="2"/>
        <v>-0.17894736842105263</v>
      </c>
    </row>
    <row r="33" spans="1:15" ht="21" customHeight="1" x14ac:dyDescent="0.35">
      <c r="A33" s="4" t="s">
        <v>36</v>
      </c>
      <c r="B33" s="4">
        <v>12</v>
      </c>
      <c r="C33" s="4">
        <v>102.7</v>
      </c>
      <c r="D33" s="5" t="s">
        <v>37</v>
      </c>
      <c r="E33" s="6" t="s">
        <v>38</v>
      </c>
      <c r="F33" s="6" t="s">
        <v>23</v>
      </c>
      <c r="G33" s="4" t="s">
        <v>26</v>
      </c>
      <c r="H33" s="7">
        <v>45993</v>
      </c>
      <c r="I33" s="8" t="s">
        <v>20</v>
      </c>
      <c r="J33" s="1">
        <v>2000</v>
      </c>
      <c r="K33" s="1">
        <v>102.7</v>
      </c>
      <c r="L33" s="1">
        <v>1430</v>
      </c>
      <c r="M33" s="9">
        <f t="shared" si="0"/>
        <v>1</v>
      </c>
      <c r="N33" s="10">
        <f t="shared" si="1"/>
        <v>-570</v>
      </c>
      <c r="O33" s="11">
        <f t="shared" si="2"/>
        <v>-0.28499999999999998</v>
      </c>
    </row>
    <row r="34" spans="1:15" ht="21" customHeight="1" x14ac:dyDescent="0.35">
      <c r="A34" s="4" t="s">
        <v>36</v>
      </c>
      <c r="B34" s="4">
        <v>13</v>
      </c>
      <c r="C34" s="4">
        <v>87.11</v>
      </c>
      <c r="D34" s="5" t="s">
        <v>37</v>
      </c>
      <c r="E34" s="6" t="s">
        <v>38</v>
      </c>
      <c r="F34" s="6" t="s">
        <v>23</v>
      </c>
      <c r="G34" s="4" t="s">
        <v>24</v>
      </c>
      <c r="H34" s="7">
        <v>45988</v>
      </c>
      <c r="I34" s="8" t="s">
        <v>20</v>
      </c>
      <c r="J34" s="1">
        <v>1800</v>
      </c>
      <c r="K34" s="1">
        <v>87.11</v>
      </c>
      <c r="L34" s="1">
        <v>1400</v>
      </c>
      <c r="M34" s="9">
        <f t="shared" si="0"/>
        <v>1</v>
      </c>
      <c r="N34" s="10">
        <f t="shared" si="1"/>
        <v>-400</v>
      </c>
      <c r="O34" s="11">
        <f t="shared" si="2"/>
        <v>-0.22222222222222221</v>
      </c>
    </row>
    <row r="35" spans="1:15" ht="21" customHeight="1" x14ac:dyDescent="0.35">
      <c r="A35" s="4" t="s">
        <v>36</v>
      </c>
      <c r="B35" s="4">
        <v>14</v>
      </c>
      <c r="C35" s="4">
        <v>59.42</v>
      </c>
      <c r="D35" s="5" t="s">
        <v>37</v>
      </c>
      <c r="E35" s="6" t="s">
        <v>38</v>
      </c>
      <c r="F35" s="6" t="s">
        <v>23</v>
      </c>
      <c r="G35" s="4" t="s">
        <v>26</v>
      </c>
      <c r="H35" s="7">
        <v>45996</v>
      </c>
      <c r="I35" s="8" t="s">
        <v>20</v>
      </c>
      <c r="J35" s="1">
        <v>2000</v>
      </c>
      <c r="K35" s="1">
        <v>59.42</v>
      </c>
      <c r="L35" s="1">
        <v>1544</v>
      </c>
      <c r="M35" s="9">
        <f t="shared" si="0"/>
        <v>1</v>
      </c>
      <c r="N35" s="10">
        <f t="shared" si="1"/>
        <v>-456</v>
      </c>
      <c r="O35" s="11">
        <f t="shared" si="2"/>
        <v>-0.22800000000000001</v>
      </c>
    </row>
    <row r="36" spans="1:15" ht="21" customHeight="1" x14ac:dyDescent="0.35">
      <c r="A36" s="4" t="s">
        <v>36</v>
      </c>
      <c r="B36" s="4">
        <v>15</v>
      </c>
      <c r="C36" s="4">
        <v>35.96</v>
      </c>
      <c r="D36" s="5" t="s">
        <v>37</v>
      </c>
      <c r="E36" s="6" t="s">
        <v>38</v>
      </c>
      <c r="F36" s="6" t="s">
        <v>23</v>
      </c>
      <c r="G36" s="4" t="s">
        <v>26</v>
      </c>
      <c r="H36" s="7">
        <v>45995</v>
      </c>
      <c r="I36" s="8" t="s">
        <v>25</v>
      </c>
      <c r="J36" s="1">
        <v>2000</v>
      </c>
      <c r="K36" s="1">
        <v>35.96</v>
      </c>
      <c r="L36" s="1">
        <v>1696</v>
      </c>
      <c r="M36" s="9">
        <f t="shared" si="0"/>
        <v>1</v>
      </c>
      <c r="N36" s="10">
        <f t="shared" si="1"/>
        <v>-304</v>
      </c>
      <c r="O36" s="11">
        <f t="shared" si="2"/>
        <v>-0.152</v>
      </c>
    </row>
    <row r="37" spans="1:15" ht="21" customHeight="1" x14ac:dyDescent="0.35">
      <c r="A37" s="4" t="s">
        <v>39</v>
      </c>
      <c r="B37" s="4" t="s">
        <v>40</v>
      </c>
      <c r="C37" s="4">
        <v>386.2</v>
      </c>
      <c r="D37" s="5" t="s">
        <v>28</v>
      </c>
      <c r="E37" s="6" t="s">
        <v>29</v>
      </c>
      <c r="F37" s="6" t="s">
        <v>23</v>
      </c>
      <c r="G37" s="4" t="s">
        <v>24</v>
      </c>
      <c r="H37" s="7">
        <v>45981</v>
      </c>
      <c r="I37" s="8" t="s">
        <v>20</v>
      </c>
      <c r="J37" s="1">
        <v>2200</v>
      </c>
      <c r="K37" s="1">
        <v>386.2</v>
      </c>
      <c r="L37" s="1">
        <v>2040</v>
      </c>
      <c r="M37" s="9">
        <f t="shared" si="0"/>
        <v>1</v>
      </c>
      <c r="N37" s="10">
        <f t="shared" si="1"/>
        <v>-160</v>
      </c>
      <c r="O37" s="11">
        <f t="shared" si="2"/>
        <v>-7.2727272727272724E-2</v>
      </c>
    </row>
    <row r="38" spans="1:15" ht="21" customHeight="1" x14ac:dyDescent="0.35">
      <c r="A38" s="4" t="s">
        <v>39</v>
      </c>
      <c r="B38" s="4" t="s">
        <v>41</v>
      </c>
      <c r="C38" s="12">
        <v>153.04</v>
      </c>
      <c r="D38" s="5" t="s">
        <v>28</v>
      </c>
      <c r="E38" s="6" t="s">
        <v>29</v>
      </c>
      <c r="F38" s="6" t="s">
        <v>23</v>
      </c>
      <c r="G38" s="4" t="s">
        <v>24</v>
      </c>
      <c r="H38" s="7">
        <v>45992</v>
      </c>
      <c r="I38" s="8" t="s">
        <v>25</v>
      </c>
      <c r="J38" s="1">
        <v>2000</v>
      </c>
      <c r="M38" s="9">
        <f t="shared" si="0"/>
        <v>0</v>
      </c>
      <c r="N38" s="10" t="str">
        <f t="shared" si="1"/>
        <v/>
      </c>
      <c r="O38" s="11" t="str">
        <f t="shared" si="2"/>
        <v/>
      </c>
    </row>
    <row r="39" spans="1:15" ht="21" customHeight="1" x14ac:dyDescent="0.35">
      <c r="A39" s="4" t="s">
        <v>39</v>
      </c>
      <c r="B39" s="4" t="s">
        <v>42</v>
      </c>
      <c r="C39" s="4">
        <v>189.75</v>
      </c>
      <c r="D39" s="5" t="s">
        <v>43</v>
      </c>
      <c r="E39" s="6" t="s">
        <v>44</v>
      </c>
      <c r="F39" s="6" t="s">
        <v>23</v>
      </c>
      <c r="G39" s="4" t="s">
        <v>26</v>
      </c>
      <c r="H39" s="7">
        <v>46002</v>
      </c>
      <c r="I39" s="8" t="s">
        <v>25</v>
      </c>
      <c r="J39" s="1">
        <v>2000</v>
      </c>
      <c r="K39" s="1">
        <v>189.75</v>
      </c>
      <c r="L39" s="1">
        <v>1720</v>
      </c>
      <c r="M39" s="9">
        <f t="shared" si="0"/>
        <v>1</v>
      </c>
      <c r="N39" s="10">
        <f t="shared" si="1"/>
        <v>-280</v>
      </c>
      <c r="O39" s="11">
        <f t="shared" si="2"/>
        <v>-0.14000000000000001</v>
      </c>
    </row>
    <row r="40" spans="1:15" ht="21" customHeight="1" x14ac:dyDescent="0.35">
      <c r="A40" s="4" t="s">
        <v>39</v>
      </c>
      <c r="B40" s="4" t="s">
        <v>45</v>
      </c>
      <c r="C40" s="4">
        <v>169.61</v>
      </c>
      <c r="D40" s="5" t="s">
        <v>28</v>
      </c>
      <c r="E40" s="6" t="s">
        <v>29</v>
      </c>
      <c r="F40" s="6" t="s">
        <v>23</v>
      </c>
      <c r="G40" s="4" t="s">
        <v>24</v>
      </c>
      <c r="H40" s="7">
        <v>45976</v>
      </c>
      <c r="I40" s="8" t="s">
        <v>20</v>
      </c>
      <c r="J40" s="1">
        <v>2300</v>
      </c>
      <c r="K40" s="1">
        <v>169.61</v>
      </c>
      <c r="L40" s="1">
        <v>2000</v>
      </c>
      <c r="M40" s="9">
        <f t="shared" si="0"/>
        <v>1</v>
      </c>
      <c r="N40" s="10">
        <f t="shared" si="1"/>
        <v>-300</v>
      </c>
      <c r="O40" s="11">
        <f t="shared" si="2"/>
        <v>-0.13043478260869565</v>
      </c>
    </row>
    <row r="41" spans="1:15" ht="21" customHeight="1" x14ac:dyDescent="0.35">
      <c r="A41" s="4" t="s">
        <v>39</v>
      </c>
      <c r="B41" s="4" t="s">
        <v>46</v>
      </c>
      <c r="C41" s="4">
        <v>118.35</v>
      </c>
      <c r="D41" s="5" t="s">
        <v>28</v>
      </c>
      <c r="E41" s="6" t="s">
        <v>29</v>
      </c>
      <c r="F41" s="6" t="s">
        <v>23</v>
      </c>
      <c r="G41" s="4" t="s">
        <v>24</v>
      </c>
      <c r="H41" s="7">
        <v>45992</v>
      </c>
      <c r="I41" s="8" t="s">
        <v>20</v>
      </c>
      <c r="J41" s="1">
        <v>2000</v>
      </c>
      <c r="M41" s="9">
        <f t="shared" si="0"/>
        <v>0</v>
      </c>
      <c r="N41" s="10" t="str">
        <f t="shared" si="1"/>
        <v/>
      </c>
      <c r="O41" s="11" t="str">
        <f t="shared" si="2"/>
        <v/>
      </c>
    </row>
    <row r="42" spans="1:15" ht="21" customHeight="1" x14ac:dyDescent="0.35">
      <c r="A42" s="4" t="s">
        <v>39</v>
      </c>
      <c r="B42" s="4" t="s">
        <v>47</v>
      </c>
      <c r="C42" s="4">
        <v>243.29</v>
      </c>
      <c r="D42" s="5" t="s">
        <v>28</v>
      </c>
      <c r="E42" s="6" t="s">
        <v>29</v>
      </c>
      <c r="F42" s="6" t="s">
        <v>23</v>
      </c>
      <c r="G42" s="4" t="s">
        <v>24</v>
      </c>
      <c r="H42" s="7">
        <v>45972</v>
      </c>
      <c r="I42" s="8" t="s">
        <v>20</v>
      </c>
      <c r="J42" s="1">
        <v>2100</v>
      </c>
      <c r="K42" s="1">
        <v>243.29</v>
      </c>
      <c r="L42" s="1">
        <v>2300</v>
      </c>
      <c r="M42" s="9">
        <f t="shared" si="0"/>
        <v>1</v>
      </c>
      <c r="N42" s="10">
        <f t="shared" si="1"/>
        <v>200</v>
      </c>
      <c r="O42" s="11">
        <f t="shared" si="2"/>
        <v>9.5238095238095233E-2</v>
      </c>
    </row>
    <row r="43" spans="1:15" ht="21" customHeight="1" x14ac:dyDescent="0.35">
      <c r="A43" s="4" t="s">
        <v>39</v>
      </c>
      <c r="B43" s="4" t="s">
        <v>48</v>
      </c>
      <c r="C43" s="4">
        <v>201.78</v>
      </c>
      <c r="D43" s="5" t="s">
        <v>37</v>
      </c>
      <c r="E43" s="6" t="s">
        <v>38</v>
      </c>
      <c r="F43" s="6" t="s">
        <v>23</v>
      </c>
      <c r="G43" s="4" t="s">
        <v>26</v>
      </c>
      <c r="H43" s="7">
        <v>46005</v>
      </c>
      <c r="I43" s="8" t="s">
        <v>20</v>
      </c>
      <c r="J43" s="1">
        <v>2000</v>
      </c>
      <c r="M43" s="9">
        <f t="shared" si="0"/>
        <v>0</v>
      </c>
      <c r="N43" s="10" t="str">
        <f t="shared" si="1"/>
        <v/>
      </c>
      <c r="O43" s="11" t="str">
        <f t="shared" si="2"/>
        <v/>
      </c>
    </row>
    <row r="44" spans="1:15" ht="21" customHeight="1" x14ac:dyDescent="0.35">
      <c r="A44" s="4" t="s">
        <v>39</v>
      </c>
      <c r="B44" s="4" t="s">
        <v>49</v>
      </c>
      <c r="C44" s="4">
        <v>150.52000000000001</v>
      </c>
      <c r="D44" s="5" t="s">
        <v>37</v>
      </c>
      <c r="E44" s="6" t="s">
        <v>38</v>
      </c>
      <c r="F44" s="6" t="s">
        <v>23</v>
      </c>
      <c r="G44" s="4" t="s">
        <v>26</v>
      </c>
      <c r="H44" s="7">
        <v>46002</v>
      </c>
      <c r="I44" s="8" t="s">
        <v>20</v>
      </c>
      <c r="J44" s="1">
        <v>2000</v>
      </c>
      <c r="K44" s="1">
        <v>150.52000000000001</v>
      </c>
      <c r="L44" s="1">
        <v>2116</v>
      </c>
      <c r="M44" s="9">
        <f t="shared" si="0"/>
        <v>1</v>
      </c>
      <c r="N44" s="10">
        <f t="shared" si="1"/>
        <v>116</v>
      </c>
      <c r="O44" s="11">
        <f t="shared" si="2"/>
        <v>5.8000000000000003E-2</v>
      </c>
    </row>
    <row r="45" spans="1:15" ht="21" customHeight="1" x14ac:dyDescent="0.35">
      <c r="A45" s="4" t="s">
        <v>39</v>
      </c>
      <c r="B45" s="4" t="s">
        <v>50</v>
      </c>
      <c r="C45" s="4">
        <v>225.15</v>
      </c>
      <c r="D45" s="5" t="s">
        <v>37</v>
      </c>
      <c r="E45" s="6" t="s">
        <v>38</v>
      </c>
      <c r="F45" s="6" t="s">
        <v>23</v>
      </c>
      <c r="G45" s="4" t="s">
        <v>26</v>
      </c>
      <c r="H45" s="7">
        <v>46005</v>
      </c>
      <c r="I45" s="8" t="s">
        <v>25</v>
      </c>
      <c r="J45" s="1">
        <v>1800</v>
      </c>
      <c r="K45" s="1">
        <v>30</v>
      </c>
      <c r="L45" s="1">
        <v>2150</v>
      </c>
      <c r="M45" s="9">
        <f t="shared" si="0"/>
        <v>0.13324450366422386</v>
      </c>
      <c r="N45" s="10">
        <f t="shared" si="1"/>
        <v>350</v>
      </c>
      <c r="O45" s="11">
        <f t="shared" si="2"/>
        <v>0.19444444444444445</v>
      </c>
    </row>
    <row r="47" spans="1:15" ht="15" customHeight="1" x14ac:dyDescent="0.25">
      <c r="A47" s="13" t="s">
        <v>51</v>
      </c>
    </row>
    <row r="48" spans="1:15" ht="36" customHeight="1" x14ac:dyDescent="0.25">
      <c r="A48" s="14" t="s">
        <v>52</v>
      </c>
      <c r="B48" s="14" t="s">
        <v>53</v>
      </c>
      <c r="C48" s="14" t="s">
        <v>54</v>
      </c>
      <c r="D48" s="14" t="s">
        <v>55</v>
      </c>
      <c r="E48" s="14" t="s">
        <v>56</v>
      </c>
      <c r="F48" s="14" t="s">
        <v>57</v>
      </c>
      <c r="G48" s="14" t="s">
        <v>58</v>
      </c>
      <c r="H48" s="14" t="s">
        <v>59</v>
      </c>
    </row>
    <row r="49" spans="1:9" ht="15" customHeight="1" x14ac:dyDescent="0.25">
      <c r="A49" s="60" t="s">
        <v>18</v>
      </c>
      <c r="B49" s="15">
        <f>SUMIF(F$2:F$45,"Sj1",C$2:C$45)</f>
        <v>468.67000000000007</v>
      </c>
      <c r="C49" s="15">
        <f>SUMIF(F$2:F$45,"Sj1",K$2:K$45)</f>
        <v>468.67000000000007</v>
      </c>
      <c r="D49" s="16">
        <f>IF(B49&gt;0,C49/B49,"")</f>
        <v>1</v>
      </c>
      <c r="E49" s="17">
        <f>IF(SUMIF(F$2:F$45,"Sj1",C$2:C$45)&gt;0,SUMPRODUCT((F$2:F$45="Sj1")*C$2:C$45*J$2:J$45)/SUMIF(F$2:F$45,"Sj1",C$2:C$45),"")</f>
        <v>2047.3659504555442</v>
      </c>
      <c r="F49" s="17">
        <f>IF(SUMPRODUCT((F$2:F$45="Sj1")*(K$2:K$45&gt;0)*K$2:K$45)&gt;0,SUMPRODUCT((F$2:F$45="Sj1")*(K$2:K$45&gt;0)*K$2:K$45*L$2:L$45)/SUMPRODUCT((F$2:F$45="Sj1")*(K$2:K$45&gt;0)*K$2:K$45),"")</f>
        <v>1635.2860861587042</v>
      </c>
      <c r="G49" s="18">
        <f>IF(F49&lt;&gt;"",F49-E49,"")</f>
        <v>-412.07986429684001</v>
      </c>
      <c r="H49" s="19">
        <f>IF(AND(F49&lt;&gt;"",E49&gt;0),(F49-E49)/E49,"")</f>
        <v>-0.20127318431038241</v>
      </c>
    </row>
    <row r="50" spans="1:9" ht="15" customHeight="1" x14ac:dyDescent="0.25">
      <c r="A50" s="61" t="s">
        <v>23</v>
      </c>
      <c r="B50" s="20">
        <f>SUMIF(F$2:F$45,"Sj2",C$2:C$45)</f>
        <v>4076.03</v>
      </c>
      <c r="C50" s="20">
        <f>SUMIF(F$2:F$45,"Sj2",K$2:K$45)</f>
        <v>3305.3399999999997</v>
      </c>
      <c r="D50" s="21">
        <f>IF(B50&gt;0,C50/B50,"")</f>
        <v>0.8109214112751868</v>
      </c>
      <c r="E50" s="22">
        <f>IF(SUMIF(F$2:F$45,"Sj2",C$2:C$45)&gt;0,SUMPRODUCT((F$2:F$45="Sj2")*C$2:C$45*J$2:J$45)/SUMIF(F$2:F$45,"Sj2",C$2:C$45),"")</f>
        <v>1937.8988869071129</v>
      </c>
      <c r="F50" s="22">
        <f>IF(SUMPRODUCT((F$2:F$45="Sj2")*(K$2:K$45&gt;0)*K$2:K$45)&gt;0,SUMPRODUCT((F$2:F$45="Sj2")*(K$2:K$45&gt;0)*K$2:K$45*L$2:L$45)/SUMPRODUCT((F$2:F$45="Sj2")*(K$2:K$45&gt;0)*K$2:K$45),"")</f>
        <v>1677.4255598516345</v>
      </c>
      <c r="G50" s="23">
        <f>IF(F50&lt;&gt;"",F50-E50,"")</f>
        <v>-260.47332705547842</v>
      </c>
      <c r="H50" s="24">
        <f>IF(AND(F50&lt;&gt;"",E50&gt;0),(F50-E50)/E50,"")</f>
        <v>-0.13441017424350449</v>
      </c>
    </row>
    <row r="51" spans="1:9" ht="15" customHeight="1" x14ac:dyDescent="0.25">
      <c r="A51" s="25" t="s">
        <v>60</v>
      </c>
      <c r="B51" s="26">
        <f>SUM(B49:B50)</f>
        <v>4544.7000000000007</v>
      </c>
      <c r="C51" s="26">
        <f>SUM(C49:C50)</f>
        <v>3774.0099999999998</v>
      </c>
      <c r="D51" s="27">
        <f>IF(B51&gt;0,C51/B51,"")</f>
        <v>0.83042004972825467</v>
      </c>
      <c r="E51" s="28">
        <f>IF(SUMIF(F$2:F$45,"Sj1",C$2:C$45)+SUMIF(F$2:F$45,"Sj2",C$2:C$45)&gt;0,SUMPRODUCT(((F$2:F$45="Sj1")+(F$2:F$45="Sj2"))*C$2:C$45*J$2:J$45)/(SUMIF(F$2:F$45,"Sj1",C$2:C$45)+SUMIF(F$2:F$45,"Sj2",C$2:C$45)),"")</f>
        <v>1949.1876251457738</v>
      </c>
      <c r="F51" s="28">
        <f>IF(SUMPRODUCT(((F$2:F$45="Sj1")+(F$2:F$45="Sj2"))*(K$2:K$45&gt;0)*K$2:K$45)&gt;0,SUMPRODUCT(((F$2:F$45="Sj1")+(F$2:F$45="Sj2"))*(K$2:K$45&gt;0)*K$2:K$45*L$2:L$45)/SUMPRODUCT(((F$2:F$45="Sj1")+(F$2:F$45="Sj2"))*(K$2:K$45&gt;0)*K$2:K$45),"")</f>
        <v>1672.1925299615</v>
      </c>
      <c r="G51" s="29">
        <f>IF(F51&lt;&gt;"",F51-E51,"")</f>
        <v>-276.99509518427385</v>
      </c>
      <c r="H51" s="30">
        <f>IF(AND(F51&lt;&gt;"",E51&gt;0),(F51-E51)/E51,"")</f>
        <v>-0.14210796929493036</v>
      </c>
    </row>
    <row r="53" spans="1:9" ht="15" customHeight="1" x14ac:dyDescent="0.25">
      <c r="A53" s="13" t="s">
        <v>61</v>
      </c>
    </row>
    <row r="54" spans="1:9" ht="30" x14ac:dyDescent="0.25">
      <c r="A54" s="40" t="s">
        <v>0</v>
      </c>
      <c r="B54" s="40" t="s">
        <v>52</v>
      </c>
      <c r="C54" s="40" t="s">
        <v>53</v>
      </c>
      <c r="D54" s="40" t="s">
        <v>54</v>
      </c>
      <c r="E54" s="40" t="s">
        <v>55</v>
      </c>
      <c r="F54" s="40" t="s">
        <v>80</v>
      </c>
      <c r="G54" s="40" t="s">
        <v>79</v>
      </c>
      <c r="H54" s="40" t="s">
        <v>81</v>
      </c>
      <c r="I54" s="40" t="s">
        <v>82</v>
      </c>
    </row>
    <row r="55" spans="1:9" ht="15" customHeight="1" x14ac:dyDescent="0.25">
      <c r="A55" s="41" t="s">
        <v>15</v>
      </c>
      <c r="B55" s="41" t="s">
        <v>18</v>
      </c>
      <c r="C55" s="42">
        <f>SUMPRODUCT((A$2:A$45="Malacara")*(F$2:F$45="Sj1")*C$2:C$45)</f>
        <v>203.5</v>
      </c>
      <c r="D55" s="42">
        <f>SUMPRODUCT((A$2:A$45="Malacara")*(F$2:F$45="Sj1")*K$2:K$45)</f>
        <v>203.5</v>
      </c>
      <c r="E55" s="43">
        <f t="shared" ref="E55:E64" si="3">IF(C55&gt;0,D55/C55,"")</f>
        <v>1</v>
      </c>
      <c r="F55" s="44">
        <f>IF(SUMPRODUCT((A$2:A$45="Malacara")*(F$2:F$45="Sj1")*C$2:C$45)&gt;0,SUMPRODUCT((A$2:A$45="Malacara")*(F$2:F$45="Sj1")*C$2:C$45*J$2:J$45)/SUMPRODUCT((A$2:A$45="Malacara")*(F$2:F$45="Sj1")*C$2:C$45),"")</f>
        <v>2500</v>
      </c>
      <c r="G55" s="44">
        <f>IF(SUMPRODUCT((A$2:A$45="Malacara")*(F$2:F$45="Sj1")*(K$2:K$45&gt;0)*K$2:K$45)&gt;0,SUMPRODUCT((A$2:A$45="Malacara")*(F$2:F$45="Sj1")*(K$2:K$45&gt;0)*K$2:K$45*L$2:L$45)/SUMPRODUCT((A$2:A$45="Malacara")*(F$2:F$45="Sj1")*(K$2:K$45&gt;0)*K$2:K$45),"")</f>
        <v>2180</v>
      </c>
      <c r="H55" s="45">
        <f t="shared" ref="H55:H64" si="4">IF(G55&lt;&gt;"",G55-F55,"")</f>
        <v>-320</v>
      </c>
      <c r="I55" s="46">
        <f t="shared" ref="I55:I64" si="5">IF(AND(G55&lt;&gt;"",F55&gt;0),(G55-F55)/F55,"")</f>
        <v>-0.128</v>
      </c>
    </row>
    <row r="56" spans="1:9" ht="15" customHeight="1" x14ac:dyDescent="0.25">
      <c r="A56" s="47" t="s">
        <v>33</v>
      </c>
      <c r="B56" s="47" t="s">
        <v>18</v>
      </c>
      <c r="C56" s="48">
        <f>SUMPRODUCT((A$2:A$45="La Campana")*(F$2:F$45="Sj1")*C$2:C$45)</f>
        <v>265.17</v>
      </c>
      <c r="D56" s="48">
        <f>SUMPRODUCT((A$2:A$45="La Campana")*(F$2:F$45="Sj1")*K$2:K$45)</f>
        <v>265.17</v>
      </c>
      <c r="E56" s="49">
        <f t="shared" si="3"/>
        <v>1</v>
      </c>
      <c r="F56" s="50">
        <f>IF(SUMPRODUCT((A$2:A$45="La Campana")*(F$2:F$45="Sj1")*C$2:C$45)&gt;0,SUMPRODUCT((A$2:A$45="La Campana")*(F$2:F$45="Sj1")*C$2:C$45*J$2:J$45)/SUMPRODUCT((A$2:A$45="La Campana")*(F$2:F$45="Sj1")*C$2:C$45),"")</f>
        <v>1700</v>
      </c>
      <c r="G56" s="50">
        <f>IF(SUMPRODUCT((A$2:A$45="La Campana")*(F$2:F$45="Sj1")*(K$2:K$45&gt;0)*K$2:K$45)&gt;0,SUMPRODUCT((A$2:A$45="La Campana")*(F$2:F$45="Sj1")*(K$2:K$45&gt;0)*K$2:K$45*L$2:L$45)/SUMPRODUCT((A$2:A$45="La Campana")*(F$2:F$45="Sj1")*(K$2:K$45&gt;0)*K$2:K$45),"")</f>
        <v>1217.2550816457367</v>
      </c>
      <c r="H56" s="51">
        <f t="shared" si="4"/>
        <v>-482.74491835426329</v>
      </c>
      <c r="I56" s="52">
        <f t="shared" si="5"/>
        <v>-0.28396759903191959</v>
      </c>
    </row>
    <row r="57" spans="1:9" ht="15" customHeight="1" x14ac:dyDescent="0.25">
      <c r="A57" s="41" t="s">
        <v>15</v>
      </c>
      <c r="B57" s="41" t="s">
        <v>23</v>
      </c>
      <c r="C57" s="42">
        <f>SUMPRODUCT((A$2:A$45="Malacara")*(F$2:F$45="Sj2")*C$2:C$45)</f>
        <v>769.1</v>
      </c>
      <c r="D57" s="42">
        <f>SUMPRODUCT((A$2:A$45="Malacara")*(F$2:F$45="Sj2")*K$2:K$45)</f>
        <v>769.1</v>
      </c>
      <c r="E57" s="43">
        <f t="shared" si="3"/>
        <v>1</v>
      </c>
      <c r="F57" s="44">
        <f>IF(SUMPRODUCT((A$2:A$45="Malacara")*(F$2:F$45="Sj2")*C$2:C$45)&gt;0,SUMPRODUCT((A$2:A$45="Malacara")*(F$2:F$45="Sj2")*C$2:C$45*J$2:J$45)/SUMPRODUCT((A$2:A$45="Malacara")*(F$2:F$45="Sj2")*C$2:C$45),"")</f>
        <v>1800</v>
      </c>
      <c r="G57" s="44">
        <f>IF(SUMPRODUCT((A$2:A$45="Malacara")*(F$2:F$45="Sj2")*(K$2:K$45&gt;0)*K$2:K$45)&gt;0,SUMPRODUCT((A$2:A$45="Malacara")*(F$2:F$45="Sj2")*(K$2:K$45&gt;0)*K$2:K$45*L$2:L$45)/SUMPRODUCT((A$2:A$45="Malacara")*(F$2:F$45="Sj2")*(K$2:K$45&gt;0)*K$2:K$45),"")</f>
        <v>1521.491054479261</v>
      </c>
      <c r="H57" s="45">
        <f t="shared" si="4"/>
        <v>-278.50894552073896</v>
      </c>
      <c r="I57" s="46">
        <f t="shared" si="5"/>
        <v>-0.1547271919559661</v>
      </c>
    </row>
    <row r="58" spans="1:9" ht="15" customHeight="1" x14ac:dyDescent="0.25">
      <c r="A58" s="47" t="s">
        <v>27</v>
      </c>
      <c r="B58" s="47" t="s">
        <v>23</v>
      </c>
      <c r="C58" s="48">
        <f>SUMPRODUCT((A$2:A$45="Montecristo")*(F$2:F$45="Sj2")*C$2:C$45)</f>
        <v>371.79999999999995</v>
      </c>
      <c r="D58" s="48">
        <f>SUMPRODUCT((A$2:A$45="Montecristo")*(F$2:F$45="Sj2")*K$2:K$45)</f>
        <v>269.38</v>
      </c>
      <c r="E58" s="49">
        <f t="shared" si="3"/>
        <v>0.72452931683700927</v>
      </c>
      <c r="F58" s="50">
        <f>IF(SUMPRODUCT((A$2:A$45="Montecristo")*(F$2:F$45="Sj2")*C$2:C$45)&gt;0,SUMPRODUCT((A$2:A$45="Montecristo")*(F$2:F$45="Sj2")*C$2:C$45*J$2:J$45)/SUMPRODUCT((A$2:A$45="Montecristo")*(F$2:F$45="Sj2")*C$2:C$45),"")</f>
        <v>1752.1382463690159</v>
      </c>
      <c r="G58" s="50">
        <f>IF(SUMPRODUCT((A$2:A$45="Montecristo")*(F$2:F$45="Sj2")*(K$2:K$45&gt;0)*K$2:K$45)&gt;0,SUMPRODUCT((A$2:A$45="Montecristo")*(F$2:F$45="Sj2")*(K$2:K$45&gt;0)*K$2:K$45*L$2:L$45)/SUMPRODUCT((A$2:A$45="Montecristo")*(F$2:F$45="Sj2")*(K$2:K$45&gt;0)*K$2:K$45),"")</f>
        <v>1210.7020194520751</v>
      </c>
      <c r="H58" s="51">
        <f t="shared" si="4"/>
        <v>-541.43622691694077</v>
      </c>
      <c r="I58" s="52">
        <f t="shared" si="5"/>
        <v>-0.30901455866223326</v>
      </c>
    </row>
    <row r="59" spans="1:9" ht="15" customHeight="1" x14ac:dyDescent="0.25">
      <c r="A59" s="41" t="s">
        <v>30</v>
      </c>
      <c r="B59" s="41" t="s">
        <v>23</v>
      </c>
      <c r="C59" s="42">
        <f>SUMPRODUCT((A$2:A$45="Pereira")*(F$2:F$45="Sj2")*C$2:C$45)</f>
        <v>302</v>
      </c>
      <c r="D59" s="42">
        <f>SUMPRODUCT((A$2:A$45="Pereira")*(F$2:F$45="Sj2")*K$2:K$45)</f>
        <v>302</v>
      </c>
      <c r="E59" s="43">
        <f t="shared" si="3"/>
        <v>1</v>
      </c>
      <c r="F59" s="44">
        <f>IF(SUMPRODUCT((A$2:A$45="Pereira")*(F$2:F$45="Sj2")*C$2:C$45)&gt;0,SUMPRODUCT((A$2:A$45="Pereira")*(F$2:F$45="Sj2")*C$2:C$45*J$2:J$45)/SUMPRODUCT((A$2:A$45="Pereira")*(F$2:F$45="Sj2")*C$2:C$45),"")</f>
        <v>1900</v>
      </c>
      <c r="G59" s="44">
        <f>IF(SUMPRODUCT((A$2:A$45="Pereira")*(F$2:F$45="Sj2")*(K$2:K$45&gt;0)*K$2:K$45)&gt;0,SUMPRODUCT((A$2:A$45="Pereira")*(F$2:F$45="Sj2")*(K$2:K$45&gt;0)*K$2:K$45*L$2:L$45)/SUMPRODUCT((A$2:A$45="Pereira")*(F$2:F$45="Sj2")*(K$2:K$45&gt;0)*K$2:K$45),"")</f>
        <v>1470</v>
      </c>
      <c r="H59" s="45">
        <f t="shared" si="4"/>
        <v>-430</v>
      </c>
      <c r="I59" s="46">
        <f t="shared" si="5"/>
        <v>-0.22631578947368422</v>
      </c>
    </row>
    <row r="60" spans="1:9" ht="15" customHeight="1" x14ac:dyDescent="0.25">
      <c r="A60" s="47" t="s">
        <v>33</v>
      </c>
      <c r="B60" s="47" t="s">
        <v>23</v>
      </c>
      <c r="C60" s="48">
        <f>SUMPRODUCT((A$2:A$45="La Campana")*(F$2:F$45="Sj2")*C$2:C$45)</f>
        <v>159.26</v>
      </c>
      <c r="D60" s="48">
        <f>SUMPRODUCT((A$2:A$45="La Campana")*(F$2:F$45="Sj2")*K$2:K$45)</f>
        <v>159.26</v>
      </c>
      <c r="E60" s="49">
        <f t="shared" si="3"/>
        <v>1</v>
      </c>
      <c r="F60" s="50">
        <f>IF(SUMPRODUCT((A$2:A$45="La Campana")*(F$2:F$45="Sj2")*C$2:C$45)&gt;0,SUMPRODUCT((A$2:A$45="La Campana")*(F$2:F$45="Sj2")*C$2:C$45*J$2:J$45)/SUMPRODUCT((A$2:A$45="La Campana")*(F$2:F$45="Sj2")*C$2:C$45),"")</f>
        <v>1800</v>
      </c>
      <c r="G60" s="50">
        <f>IF(SUMPRODUCT((A$2:A$45="La Campana")*(F$2:F$45="Sj2")*(K$2:K$45&gt;0)*K$2:K$45)&gt;0,SUMPRODUCT((A$2:A$45="La Campana")*(F$2:F$45="Sj2")*(K$2:K$45&gt;0)*K$2:K$45*L$2:L$45)/SUMPRODUCT((A$2:A$45="La Campana")*(F$2:F$45="Sj2")*(K$2:K$45&gt;0)*K$2:K$45),"")</f>
        <v>1424.0248650006279</v>
      </c>
      <c r="H60" s="51">
        <f t="shared" si="4"/>
        <v>-375.97513499937213</v>
      </c>
      <c r="I60" s="52">
        <f t="shared" si="5"/>
        <v>-0.20887507499965119</v>
      </c>
    </row>
    <row r="61" spans="1:9" ht="15" customHeight="1" x14ac:dyDescent="0.25">
      <c r="A61" s="41" t="s">
        <v>35</v>
      </c>
      <c r="B61" s="41" t="s">
        <v>23</v>
      </c>
      <c r="C61" s="42">
        <f>SUMPRODUCT((A$2:A$45="San Luis")*(F$2:F$45="Sj2")*C$2:C$45)</f>
        <v>141.69999999999999</v>
      </c>
      <c r="D61" s="42">
        <f>SUMPRODUCT((A$2:A$45="San Luis")*(F$2:F$45="Sj2")*K$2:K$45)</f>
        <v>141.69999999999999</v>
      </c>
      <c r="E61" s="43">
        <f t="shared" si="3"/>
        <v>1</v>
      </c>
      <c r="F61" s="44">
        <f>IF(SUMPRODUCT((A$2:A$45="San Luis")*(F$2:F$45="Sj2")*C$2:C$45)&gt;0,SUMPRODUCT((A$2:A$45="San Luis")*(F$2:F$45="Sj2")*C$2:C$45*J$2:J$45)/SUMPRODUCT((A$2:A$45="San Luis")*(F$2:F$45="Sj2")*C$2:C$45),"")</f>
        <v>1900.0000000000002</v>
      </c>
      <c r="G61" s="44">
        <f>IF(SUMPRODUCT((A$2:A$45="San Luis")*(F$2:F$45="Sj2")*(K$2:K$45&gt;0)*K$2:K$45)&gt;0,SUMPRODUCT((A$2:A$45="San Luis")*(F$2:F$45="Sj2")*(K$2:K$45&gt;0)*K$2:K$45*L$2:L$45)/SUMPRODUCT((A$2:A$45="San Luis")*(F$2:F$45="Sj2")*(K$2:K$45&gt;0)*K$2:K$45),"")</f>
        <v>1920.0000000000002</v>
      </c>
      <c r="H61" s="45">
        <f t="shared" si="4"/>
        <v>20</v>
      </c>
      <c r="I61" s="46">
        <f t="shared" si="5"/>
        <v>1.0526315789473682E-2</v>
      </c>
    </row>
    <row r="62" spans="1:9" ht="15" customHeight="1" x14ac:dyDescent="0.25">
      <c r="A62" s="47" t="s">
        <v>36</v>
      </c>
      <c r="B62" s="47" t="s">
        <v>23</v>
      </c>
      <c r="C62" s="48">
        <f>SUMPRODUCT((A$2:A$45="La Blanqueada")*(F$2:F$45="Sj2")*C$2:C$45)</f>
        <v>494.48</v>
      </c>
      <c r="D62" s="48">
        <f>SUMPRODUCT((A$2:A$45="La Blanqueada")*(F$2:F$45="Sj2")*K$2:K$45)</f>
        <v>494.53000000000003</v>
      </c>
      <c r="E62" s="49">
        <f t="shared" si="3"/>
        <v>1.0001011163242195</v>
      </c>
      <c r="F62" s="50">
        <f>IF(SUMPRODUCT((A$2:A$45="La Blanqueada")*(F$2:F$45="Sj2")*C$2:C$45)&gt;0,SUMPRODUCT((A$2:A$45="La Blanqueada")*(F$2:F$45="Sj2")*C$2:C$45*J$2:J$45)/SUMPRODUCT((A$2:A$45="La Blanqueada")*(F$2:F$45="Sj2")*C$2:C$45),"")</f>
        <v>1922.4417569972495</v>
      </c>
      <c r="G62" s="50">
        <f>IF(SUMPRODUCT((A$2:A$45="La Blanqueada")*(F$2:F$45="Sj2")*(K$2:K$45&gt;0)*K$2:K$45)&gt;0,SUMPRODUCT((A$2:A$45="La Blanqueada")*(F$2:F$45="Sj2")*(K$2:K$45&gt;0)*K$2:K$45*L$2:L$45)/SUMPRODUCT((A$2:A$45="La Blanqueada")*(F$2:F$45="Sj2")*(K$2:K$45&gt;0)*K$2:K$45),"")</f>
        <v>1434.3813317695588</v>
      </c>
      <c r="H62" s="51">
        <f t="shared" si="4"/>
        <v>-488.06042522769076</v>
      </c>
      <c r="I62" s="52">
        <f t="shared" si="5"/>
        <v>-0.25387527265846266</v>
      </c>
    </row>
    <row r="63" spans="1:9" ht="15" customHeight="1" x14ac:dyDescent="0.25">
      <c r="A63" s="41" t="s">
        <v>39</v>
      </c>
      <c r="B63" s="41" t="s">
        <v>23</v>
      </c>
      <c r="C63" s="42">
        <f>SUMPRODUCT((A$2:A$45="Santa Rafaela")*(F$2:F$45="Sj2")*C$2:C$45)</f>
        <v>1837.69</v>
      </c>
      <c r="D63" s="42">
        <f>SUMPRODUCT((A$2:A$45="Santa Rafaela")*(F$2:F$45="Sj2")*K$2:K$45)</f>
        <v>1169.3700000000001</v>
      </c>
      <c r="E63" s="43">
        <f t="shared" si="3"/>
        <v>0.63632603975643343</v>
      </c>
      <c r="F63" s="44">
        <f>IF(SUMPRODUCT((A$2:A$45="Santa Rafaela")*(F$2:F$45="Sj2")*C$2:C$45)&gt;0,SUMPRODUCT((A$2:A$45="Santa Rafaela")*(F$2:F$45="Sj2")*C$2:C$45*J$2:J$45)/SUMPRODUCT((A$2:A$45="Santa Rafaela")*(F$2:F$45="Sj2")*C$2:C$45),"")</f>
        <v>2058.4549080639281</v>
      </c>
      <c r="G63" s="44">
        <f>IF(SUMPRODUCT((A$2:A$45="Santa Rafaela")*(F$2:F$45="Sj2")*(K$2:K$45&gt;0)*K$2:K$45)&gt;0,SUMPRODUCT((A$2:A$45="Santa Rafaela")*(F$2:F$45="Sj2")*(K$2:K$45&gt;0)*K$2:K$45*L$2:L$45)/SUMPRODUCT((A$2:A$45="Santa Rafaela")*(F$2:F$45="Sj2")*(K$2:K$45&gt;0)*K$2:K$45),"")</f>
        <v>2048.9710869955616</v>
      </c>
      <c r="H63" s="45">
        <f t="shared" si="4"/>
        <v>-9.4838210683665238</v>
      </c>
      <c r="I63" s="46">
        <f t="shared" si="5"/>
        <v>-4.607252279957153E-3</v>
      </c>
    </row>
    <row r="64" spans="1:9" ht="15" customHeight="1" x14ac:dyDescent="0.25">
      <c r="A64" s="53" t="s">
        <v>60</v>
      </c>
      <c r="B64" s="54"/>
      <c r="C64" s="55">
        <f>SUM(C55:C63)</f>
        <v>4544.7</v>
      </c>
      <c r="D64" s="55">
        <f>SUM(D55:D63)</f>
        <v>3774.01</v>
      </c>
      <c r="E64" s="56">
        <f t="shared" si="3"/>
        <v>0.83042004972825501</v>
      </c>
      <c r="F64" s="57">
        <f>IF(SUMPRODUCT(((F$2:F$45="Sj1")+(F$2:F$45="Sj2"))*C$2:C$45)&gt;0,SUMPRODUCT(((F$2:F$45="Sj1")+(F$2:F$45="Sj2"))*C$2:C$45*J$2:J$45)/SUMPRODUCT(((F$2:F$45="Sj1")+(F$2:F$45="Sj2"))*C$2:C$45),"")</f>
        <v>1949.1876251457743</v>
      </c>
      <c r="G64" s="57">
        <f>IF(SUMPRODUCT(((F$2:F$45="Sj1")+(F$2:F$45="Sj2"))*(K$2:K$45&gt;0)*K$2:K$45)&gt;0,SUMPRODUCT(((F$2:F$45="Sj1")+(F$2:F$45="Sj2"))*(K$2:K$45&gt;0)*K$2:K$45*L$2:L$45)/SUMPRODUCT(((F$2:F$45="Sj1")+(F$2:F$45="Sj2"))*(K$2:K$45&gt;0)*K$2:K$45),"")</f>
        <v>1672.1925299615</v>
      </c>
      <c r="H64" s="58">
        <f t="shared" si="4"/>
        <v>-276.99509518427431</v>
      </c>
      <c r="I64" s="59">
        <f t="shared" si="5"/>
        <v>-0.14210796929493055</v>
      </c>
    </row>
  </sheetData>
  <autoFilter ref="A1:O45" xr:uid="{00000000-0009-0000-0000-000000000000}"/>
  <dataValidations count="1">
    <dataValidation type="list" allowBlank="1" sqref="H2:H36" xr:uid="{00000000-0002-0000-00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72"/>
  <sheetViews>
    <sheetView topLeftCell="A33" zoomScaleNormal="100" workbookViewId="0">
      <selection activeCell="J49" sqref="J49"/>
    </sheetView>
  </sheetViews>
  <sheetFormatPr baseColWidth="10" defaultColWidth="11.42578125" defaultRowHeight="15" x14ac:dyDescent="0.25"/>
  <cols>
    <col min="1" max="1" width="16" style="1" customWidth="1"/>
    <col min="2" max="2" width="10" style="1" customWidth="1"/>
    <col min="3" max="3" width="12.5703125" style="1" customWidth="1"/>
    <col min="4" max="4" width="13.5703125" style="1" customWidth="1"/>
    <col min="5" max="5" width="8" style="1" customWidth="1"/>
    <col min="6" max="6" width="10" style="1" customWidth="1"/>
    <col min="7" max="7" width="19.42578125" style="1" bestFit="1" customWidth="1"/>
    <col min="8" max="8" width="12" style="1" customWidth="1"/>
    <col min="9" max="9" width="25.5703125" style="1" bestFit="1" customWidth="1"/>
    <col min="10" max="10" width="14.85546875" style="1" bestFit="1" customWidth="1"/>
    <col min="11" max="16384" width="11.42578125" style="1"/>
  </cols>
  <sheetData>
    <row r="1" spans="1:10" ht="20.25" customHeight="1" x14ac:dyDescent="0.3">
      <c r="A1" s="2" t="s">
        <v>0</v>
      </c>
      <c r="B1" s="2" t="s">
        <v>62</v>
      </c>
      <c r="C1" s="2" t="s">
        <v>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7</v>
      </c>
      <c r="I1" s="3" t="s">
        <v>8</v>
      </c>
      <c r="J1" s="1" t="s">
        <v>99</v>
      </c>
    </row>
    <row r="2" spans="1:10" ht="21" customHeight="1" x14ac:dyDescent="0.35">
      <c r="A2" s="4" t="s">
        <v>15</v>
      </c>
      <c r="B2" s="4">
        <v>1</v>
      </c>
      <c r="C2" s="4">
        <v>203.49</v>
      </c>
      <c r="D2" s="6" t="s">
        <v>29</v>
      </c>
      <c r="E2" s="36"/>
      <c r="F2" s="37">
        <f t="shared" ref="F2:F33" si="0">IF(C2&gt;0,C2-E2,"")</f>
        <v>203.49</v>
      </c>
      <c r="G2" s="38">
        <f t="shared" ref="G2:G33" si="1">IF(C2&gt;0,E2/C2,"")</f>
        <v>0</v>
      </c>
      <c r="H2" s="8"/>
      <c r="I2" s="8"/>
    </row>
    <row r="3" spans="1:10" ht="21" hidden="1" customHeight="1" x14ac:dyDescent="0.35">
      <c r="A3" s="4" t="s">
        <v>15</v>
      </c>
      <c r="B3" s="4">
        <v>2</v>
      </c>
      <c r="C3" s="4">
        <v>215</v>
      </c>
      <c r="D3" s="6" t="s">
        <v>17</v>
      </c>
      <c r="E3" s="36">
        <v>215</v>
      </c>
      <c r="F3" s="37">
        <f t="shared" si="0"/>
        <v>0</v>
      </c>
      <c r="G3" s="38">
        <f t="shared" si="1"/>
        <v>1</v>
      </c>
      <c r="H3" s="39">
        <v>46136</v>
      </c>
      <c r="I3" s="8" t="s">
        <v>67</v>
      </c>
    </row>
    <row r="4" spans="1:10" ht="21" hidden="1" customHeight="1" x14ac:dyDescent="0.35">
      <c r="A4" s="4" t="s">
        <v>15</v>
      </c>
      <c r="B4" s="4">
        <v>3</v>
      </c>
      <c r="C4" s="4">
        <v>46.14</v>
      </c>
      <c r="D4" s="6" t="s">
        <v>17</v>
      </c>
      <c r="E4" s="36">
        <v>46.14</v>
      </c>
      <c r="F4" s="37">
        <f t="shared" si="0"/>
        <v>0</v>
      </c>
      <c r="G4" s="38">
        <f t="shared" si="1"/>
        <v>1</v>
      </c>
      <c r="H4" s="39">
        <v>46136</v>
      </c>
      <c r="I4" s="8" t="s">
        <v>67</v>
      </c>
    </row>
    <row r="5" spans="1:10" ht="21" hidden="1" customHeight="1" x14ac:dyDescent="0.35">
      <c r="A5" s="4" t="s">
        <v>15</v>
      </c>
      <c r="B5" s="4">
        <v>7</v>
      </c>
      <c r="C5" s="4">
        <v>28.41</v>
      </c>
      <c r="D5" s="6" t="s">
        <v>17</v>
      </c>
      <c r="E5" s="36">
        <v>28.41</v>
      </c>
      <c r="F5" s="37">
        <f t="shared" si="0"/>
        <v>0</v>
      </c>
      <c r="G5" s="38">
        <f t="shared" si="1"/>
        <v>1</v>
      </c>
      <c r="H5" s="39">
        <v>46136</v>
      </c>
      <c r="I5" s="8" t="s">
        <v>67</v>
      </c>
    </row>
    <row r="6" spans="1:10" ht="21" hidden="1" customHeight="1" x14ac:dyDescent="0.35">
      <c r="A6" s="4" t="s">
        <v>15</v>
      </c>
      <c r="B6" s="4">
        <v>8</v>
      </c>
      <c r="C6" s="4">
        <v>22.55</v>
      </c>
      <c r="D6" s="6" t="s">
        <v>17</v>
      </c>
      <c r="E6" s="36">
        <v>22.55</v>
      </c>
      <c r="F6" s="37">
        <f t="shared" si="0"/>
        <v>0</v>
      </c>
      <c r="G6" s="38">
        <f t="shared" si="1"/>
        <v>1</v>
      </c>
      <c r="H6" s="39">
        <v>46136</v>
      </c>
      <c r="I6" s="8" t="s">
        <v>67</v>
      </c>
    </row>
    <row r="7" spans="1:10" ht="21" hidden="1" customHeight="1" x14ac:dyDescent="0.35">
      <c r="A7" s="4" t="s">
        <v>15</v>
      </c>
      <c r="B7" s="4">
        <v>9</v>
      </c>
      <c r="C7" s="4">
        <v>62.73</v>
      </c>
      <c r="D7" s="6" t="s">
        <v>17</v>
      </c>
      <c r="E7" s="36">
        <v>62.73</v>
      </c>
      <c r="F7" s="37">
        <f t="shared" si="0"/>
        <v>0</v>
      </c>
      <c r="G7" s="38">
        <f t="shared" si="1"/>
        <v>1</v>
      </c>
      <c r="H7" s="39">
        <v>46136</v>
      </c>
      <c r="I7" s="8" t="s">
        <v>67</v>
      </c>
    </row>
    <row r="8" spans="1:10" ht="21" hidden="1" customHeight="1" x14ac:dyDescent="0.35">
      <c r="A8" s="4" t="s">
        <v>15</v>
      </c>
      <c r="B8" s="4">
        <v>10</v>
      </c>
      <c r="C8" s="4">
        <v>29.7</v>
      </c>
      <c r="D8" s="6" t="s">
        <v>17</v>
      </c>
      <c r="E8" s="36">
        <v>29.7</v>
      </c>
      <c r="F8" s="37">
        <f t="shared" si="0"/>
        <v>0</v>
      </c>
      <c r="G8" s="38">
        <f t="shared" si="1"/>
        <v>1</v>
      </c>
      <c r="H8" s="39">
        <v>46136</v>
      </c>
      <c r="I8" s="8" t="s">
        <v>67</v>
      </c>
    </row>
    <row r="9" spans="1:10" ht="21" hidden="1" customHeight="1" x14ac:dyDescent="0.35">
      <c r="A9" s="4" t="s">
        <v>15</v>
      </c>
      <c r="B9" s="4">
        <v>11</v>
      </c>
      <c r="C9" s="4">
        <v>270.44</v>
      </c>
      <c r="D9" s="6" t="s">
        <v>17</v>
      </c>
      <c r="E9" s="36">
        <v>270.44</v>
      </c>
      <c r="F9" s="37">
        <f t="shared" si="0"/>
        <v>0</v>
      </c>
      <c r="G9" s="38">
        <f t="shared" si="1"/>
        <v>1</v>
      </c>
      <c r="H9" s="39">
        <v>46136</v>
      </c>
      <c r="I9" s="8" t="s">
        <v>67</v>
      </c>
    </row>
    <row r="10" spans="1:10" ht="21" hidden="1" customHeight="1" x14ac:dyDescent="0.35">
      <c r="A10" s="4" t="s">
        <v>15</v>
      </c>
      <c r="B10" s="4">
        <v>12</v>
      </c>
      <c r="C10" s="4">
        <v>64.239999999999995</v>
      </c>
      <c r="D10" s="6" t="s">
        <v>17</v>
      </c>
      <c r="E10" s="36">
        <v>64.239999999999995</v>
      </c>
      <c r="F10" s="37">
        <f t="shared" si="0"/>
        <v>0</v>
      </c>
      <c r="G10" s="38">
        <f t="shared" si="1"/>
        <v>1</v>
      </c>
      <c r="H10" s="39">
        <v>46136</v>
      </c>
      <c r="I10" s="8" t="s">
        <v>67</v>
      </c>
    </row>
    <row r="11" spans="1:10" ht="21" hidden="1" customHeight="1" x14ac:dyDescent="0.35">
      <c r="A11" s="4" t="s">
        <v>15</v>
      </c>
      <c r="B11" s="4">
        <v>13</v>
      </c>
      <c r="C11" s="4">
        <v>29.89</v>
      </c>
      <c r="D11" s="6" t="s">
        <v>17</v>
      </c>
      <c r="E11" s="36">
        <v>29.89</v>
      </c>
      <c r="F11" s="37">
        <f t="shared" si="0"/>
        <v>0</v>
      </c>
      <c r="G11" s="38">
        <f t="shared" si="1"/>
        <v>1</v>
      </c>
      <c r="H11" s="39">
        <v>46136</v>
      </c>
      <c r="I11" s="8" t="s">
        <v>67</v>
      </c>
    </row>
    <row r="12" spans="1:10" ht="21" hidden="1" customHeight="1" x14ac:dyDescent="0.35">
      <c r="A12" s="4" t="s">
        <v>27</v>
      </c>
      <c r="B12" s="4">
        <v>6</v>
      </c>
      <c r="C12" s="4">
        <v>52.63</v>
      </c>
      <c r="D12" s="6" t="s">
        <v>17</v>
      </c>
      <c r="E12" s="36">
        <v>52.63</v>
      </c>
      <c r="F12" s="37">
        <f t="shared" si="0"/>
        <v>0</v>
      </c>
      <c r="G12" s="38">
        <f t="shared" si="1"/>
        <v>1</v>
      </c>
      <c r="H12" s="39">
        <v>46137</v>
      </c>
      <c r="I12" s="8" t="s">
        <v>67</v>
      </c>
    </row>
    <row r="13" spans="1:10" ht="21" customHeight="1" x14ac:dyDescent="0.35">
      <c r="A13" s="4" t="s">
        <v>27</v>
      </c>
      <c r="B13" s="4">
        <v>7</v>
      </c>
      <c r="C13" s="4">
        <v>60.61</v>
      </c>
      <c r="D13" s="6" t="s">
        <v>22</v>
      </c>
      <c r="E13" s="36"/>
      <c r="F13" s="37">
        <f t="shared" si="0"/>
        <v>60.61</v>
      </c>
      <c r="G13" s="38">
        <f t="shared" si="1"/>
        <v>0</v>
      </c>
      <c r="H13" s="8"/>
      <c r="I13" s="8"/>
    </row>
    <row r="14" spans="1:10" ht="21" customHeight="1" x14ac:dyDescent="0.35">
      <c r="A14" s="4" t="s">
        <v>27</v>
      </c>
      <c r="B14" s="4">
        <v>11</v>
      </c>
      <c r="C14" s="4">
        <v>56.69</v>
      </c>
      <c r="D14" s="6" t="s">
        <v>22</v>
      </c>
      <c r="E14" s="36"/>
      <c r="F14" s="37">
        <f t="shared" si="0"/>
        <v>56.69</v>
      </c>
      <c r="G14" s="38">
        <f t="shared" si="1"/>
        <v>0</v>
      </c>
      <c r="H14" s="8"/>
      <c r="I14" s="8"/>
    </row>
    <row r="15" spans="1:10" ht="21" customHeight="1" x14ac:dyDescent="0.35">
      <c r="A15" s="4" t="s">
        <v>27</v>
      </c>
      <c r="B15" s="4">
        <v>12</v>
      </c>
      <c r="C15" s="4">
        <v>49.78</v>
      </c>
      <c r="D15" s="6" t="s">
        <v>22</v>
      </c>
      <c r="E15" s="36"/>
      <c r="F15" s="37">
        <f t="shared" si="0"/>
        <v>49.78</v>
      </c>
      <c r="G15" s="38">
        <f t="shared" si="1"/>
        <v>0</v>
      </c>
      <c r="H15" s="8"/>
      <c r="I15" s="8"/>
    </row>
    <row r="16" spans="1:10" ht="21" customHeight="1" x14ac:dyDescent="0.35">
      <c r="A16" s="4" t="s">
        <v>27</v>
      </c>
      <c r="B16" s="4">
        <v>13</v>
      </c>
      <c r="C16" s="4">
        <v>26.67</v>
      </c>
      <c r="D16" s="6" t="s">
        <v>22</v>
      </c>
      <c r="E16" s="36"/>
      <c r="F16" s="37">
        <f t="shared" si="0"/>
        <v>26.67</v>
      </c>
      <c r="G16" s="38">
        <f t="shared" si="1"/>
        <v>0</v>
      </c>
      <c r="H16" s="8"/>
      <c r="I16" s="8"/>
    </row>
    <row r="17" spans="1:10" ht="21" customHeight="1" x14ac:dyDescent="0.35">
      <c r="A17" s="4" t="s">
        <v>27</v>
      </c>
      <c r="B17" s="4">
        <v>14</v>
      </c>
      <c r="C17" s="4">
        <v>33.96</v>
      </c>
      <c r="D17" s="6" t="s">
        <v>22</v>
      </c>
      <c r="E17" s="36"/>
      <c r="F17" s="37">
        <f t="shared" si="0"/>
        <v>33.96</v>
      </c>
      <c r="G17" s="38">
        <f t="shared" si="1"/>
        <v>0</v>
      </c>
      <c r="H17" s="8"/>
      <c r="I17" s="8"/>
    </row>
    <row r="18" spans="1:10" ht="21" customHeight="1" x14ac:dyDescent="0.35">
      <c r="A18" s="4" t="s">
        <v>27</v>
      </c>
      <c r="B18" s="4">
        <v>16</v>
      </c>
      <c r="C18" s="4">
        <v>91.46</v>
      </c>
      <c r="D18" s="6" t="s">
        <v>22</v>
      </c>
      <c r="E18" s="36"/>
      <c r="F18" s="37">
        <f t="shared" si="0"/>
        <v>91.46</v>
      </c>
      <c r="G18" s="38">
        <f t="shared" si="1"/>
        <v>0</v>
      </c>
      <c r="H18" s="8"/>
      <c r="I18" s="8"/>
    </row>
    <row r="19" spans="1:10" ht="21" customHeight="1" x14ac:dyDescent="0.35">
      <c r="A19" s="4" t="s">
        <v>30</v>
      </c>
      <c r="B19" s="4" t="s">
        <v>31</v>
      </c>
      <c r="C19" s="4">
        <v>112</v>
      </c>
      <c r="D19" s="6" t="s">
        <v>22</v>
      </c>
      <c r="E19" s="36"/>
      <c r="F19" s="37">
        <f t="shared" si="0"/>
        <v>112</v>
      </c>
      <c r="G19" s="38">
        <f t="shared" si="1"/>
        <v>0</v>
      </c>
      <c r="H19" s="8"/>
      <c r="I19" s="8"/>
    </row>
    <row r="20" spans="1:10" ht="21" customHeight="1" x14ac:dyDescent="0.35">
      <c r="A20" s="4" t="s">
        <v>30</v>
      </c>
      <c r="B20" s="4" t="s">
        <v>32</v>
      </c>
      <c r="C20" s="4">
        <v>190</v>
      </c>
      <c r="D20" s="6" t="s">
        <v>22</v>
      </c>
      <c r="E20" s="36"/>
      <c r="F20" s="37">
        <f t="shared" si="0"/>
        <v>190</v>
      </c>
      <c r="G20" s="38">
        <f t="shared" si="1"/>
        <v>0</v>
      </c>
      <c r="H20" s="8"/>
      <c r="I20" s="8"/>
    </row>
    <row r="21" spans="1:10" ht="21" customHeight="1" x14ac:dyDescent="0.35">
      <c r="A21" s="4" t="s">
        <v>33</v>
      </c>
      <c r="B21" s="4">
        <v>1</v>
      </c>
      <c r="C21" s="4">
        <v>58.59</v>
      </c>
      <c r="D21" s="6" t="s">
        <v>29</v>
      </c>
      <c r="E21" s="36">
        <v>58.59</v>
      </c>
      <c r="F21" s="37">
        <f t="shared" si="0"/>
        <v>0</v>
      </c>
      <c r="G21" s="38">
        <f t="shared" si="1"/>
        <v>1</v>
      </c>
      <c r="H21" s="39">
        <v>46160</v>
      </c>
      <c r="I21" s="8" t="s">
        <v>98</v>
      </c>
      <c r="J21" s="1" t="s">
        <v>114</v>
      </c>
    </row>
    <row r="22" spans="1:10" ht="21" customHeight="1" x14ac:dyDescent="0.35">
      <c r="A22" s="4" t="s">
        <v>33</v>
      </c>
      <c r="B22" s="4">
        <v>2</v>
      </c>
      <c r="C22" s="4">
        <v>40.99</v>
      </c>
      <c r="D22" s="6" t="s">
        <v>29</v>
      </c>
      <c r="E22" s="36">
        <v>41</v>
      </c>
      <c r="F22" s="37">
        <f t="shared" si="0"/>
        <v>-9.9999999999980105E-3</v>
      </c>
      <c r="G22" s="38">
        <f t="shared" si="1"/>
        <v>1.000243961941937</v>
      </c>
      <c r="H22" s="39">
        <v>46161</v>
      </c>
      <c r="I22" s="8" t="s">
        <v>98</v>
      </c>
      <c r="J22" s="1" t="s">
        <v>114</v>
      </c>
    </row>
    <row r="23" spans="1:10" ht="21" customHeight="1" x14ac:dyDescent="0.35">
      <c r="A23" s="4" t="s">
        <v>33</v>
      </c>
      <c r="B23" s="4">
        <v>3</v>
      </c>
      <c r="C23" s="4">
        <v>63.11</v>
      </c>
      <c r="D23" s="6" t="s">
        <v>29</v>
      </c>
      <c r="E23" s="36">
        <v>63.11</v>
      </c>
      <c r="F23" s="37">
        <f t="shared" si="0"/>
        <v>0</v>
      </c>
      <c r="G23" s="38">
        <f t="shared" si="1"/>
        <v>1</v>
      </c>
      <c r="H23" s="39">
        <v>46159</v>
      </c>
      <c r="I23" s="8" t="s">
        <v>98</v>
      </c>
      <c r="J23" s="1" t="s">
        <v>114</v>
      </c>
    </row>
    <row r="24" spans="1:10" ht="21" customHeight="1" x14ac:dyDescent="0.35">
      <c r="A24" s="4" t="s">
        <v>33</v>
      </c>
      <c r="B24" s="4">
        <v>4</v>
      </c>
      <c r="C24" s="4">
        <v>71.48</v>
      </c>
      <c r="D24" s="6" t="s">
        <v>29</v>
      </c>
      <c r="E24" s="36">
        <v>71.48</v>
      </c>
      <c r="F24" s="37">
        <f t="shared" si="0"/>
        <v>0</v>
      </c>
      <c r="G24" s="38">
        <f t="shared" si="1"/>
        <v>1</v>
      </c>
      <c r="H24" s="39">
        <v>46157</v>
      </c>
      <c r="I24" s="8" t="s">
        <v>98</v>
      </c>
      <c r="J24" s="1" t="s">
        <v>101</v>
      </c>
    </row>
    <row r="25" spans="1:10" ht="21" hidden="1" customHeight="1" x14ac:dyDescent="0.35">
      <c r="A25" s="4" t="s">
        <v>33</v>
      </c>
      <c r="B25" s="4">
        <v>5</v>
      </c>
      <c r="C25" s="4">
        <v>67.739999999999995</v>
      </c>
      <c r="D25" s="6" t="s">
        <v>17</v>
      </c>
      <c r="E25" s="36">
        <v>67.739999999999995</v>
      </c>
      <c r="F25" s="37">
        <f t="shared" si="0"/>
        <v>0</v>
      </c>
      <c r="G25" s="38">
        <f t="shared" si="1"/>
        <v>1</v>
      </c>
      <c r="H25" s="39">
        <v>46134</v>
      </c>
      <c r="I25" s="8" t="s">
        <v>67</v>
      </c>
    </row>
    <row r="26" spans="1:10" ht="21" hidden="1" customHeight="1" x14ac:dyDescent="0.35">
      <c r="A26" s="4" t="s">
        <v>33</v>
      </c>
      <c r="B26" s="4">
        <v>6</v>
      </c>
      <c r="C26" s="4">
        <v>24.52</v>
      </c>
      <c r="D26" s="6" t="s">
        <v>17</v>
      </c>
      <c r="E26" s="36">
        <v>24.52</v>
      </c>
      <c r="F26" s="37">
        <f t="shared" si="0"/>
        <v>0</v>
      </c>
      <c r="G26" s="38">
        <f t="shared" si="1"/>
        <v>1</v>
      </c>
      <c r="H26" s="39">
        <v>46134</v>
      </c>
      <c r="I26" s="8" t="s">
        <v>67</v>
      </c>
    </row>
    <row r="27" spans="1:10" ht="21" customHeight="1" x14ac:dyDescent="0.35">
      <c r="A27" s="4" t="s">
        <v>33</v>
      </c>
      <c r="B27" s="4">
        <v>11</v>
      </c>
      <c r="C27" s="4">
        <v>31</v>
      </c>
      <c r="D27" s="6" t="s">
        <v>29</v>
      </c>
      <c r="E27" s="36">
        <v>31</v>
      </c>
      <c r="F27" s="37">
        <f t="shared" si="0"/>
        <v>0</v>
      </c>
      <c r="G27" s="38">
        <f t="shared" si="1"/>
        <v>1</v>
      </c>
      <c r="H27" s="39">
        <v>46158</v>
      </c>
      <c r="I27" s="8" t="s">
        <v>98</v>
      </c>
      <c r="J27" s="1" t="s">
        <v>101</v>
      </c>
    </row>
    <row r="28" spans="1:10" ht="21" hidden="1" customHeight="1" x14ac:dyDescent="0.35">
      <c r="A28" s="4" t="s">
        <v>33</v>
      </c>
      <c r="B28" s="4">
        <v>12</v>
      </c>
      <c r="C28" s="4">
        <v>67</v>
      </c>
      <c r="D28" s="6" t="s">
        <v>17</v>
      </c>
      <c r="E28" s="36">
        <v>67</v>
      </c>
      <c r="F28" s="37">
        <f t="shared" si="0"/>
        <v>0</v>
      </c>
      <c r="G28" s="38">
        <f t="shared" si="1"/>
        <v>1</v>
      </c>
      <c r="H28" s="39">
        <v>46134</v>
      </c>
      <c r="I28" s="8" t="s">
        <v>67</v>
      </c>
    </row>
    <row r="29" spans="1:10" ht="21" customHeight="1" x14ac:dyDescent="0.35">
      <c r="A29" s="4" t="s">
        <v>35</v>
      </c>
      <c r="B29" s="4">
        <v>1</v>
      </c>
      <c r="C29" s="4">
        <v>138.88</v>
      </c>
      <c r="D29" s="6" t="s">
        <v>29</v>
      </c>
      <c r="E29" s="36">
        <v>138.88</v>
      </c>
      <c r="F29" s="37">
        <f t="shared" si="0"/>
        <v>0</v>
      </c>
      <c r="G29" s="38">
        <f t="shared" si="1"/>
        <v>1</v>
      </c>
      <c r="H29" s="39">
        <v>46143</v>
      </c>
      <c r="I29" s="8" t="s">
        <v>98</v>
      </c>
      <c r="J29" s="1" t="s">
        <v>101</v>
      </c>
    </row>
    <row r="30" spans="1:10" ht="21" hidden="1" customHeight="1" x14ac:dyDescent="0.35">
      <c r="A30" s="4" t="s">
        <v>35</v>
      </c>
      <c r="B30" s="4">
        <v>2</v>
      </c>
      <c r="C30" s="4">
        <v>141.69999999999999</v>
      </c>
      <c r="D30" s="6" t="s">
        <v>17</v>
      </c>
      <c r="E30" s="36">
        <v>141.69999999999999</v>
      </c>
      <c r="F30" s="37">
        <f t="shared" si="0"/>
        <v>0</v>
      </c>
      <c r="G30" s="38">
        <f t="shared" si="1"/>
        <v>1</v>
      </c>
      <c r="H30" s="39">
        <v>46133</v>
      </c>
      <c r="I30" s="8" t="s">
        <v>67</v>
      </c>
    </row>
    <row r="31" spans="1:10" ht="21" hidden="1" customHeight="1" x14ac:dyDescent="0.35">
      <c r="A31" s="4" t="s">
        <v>36</v>
      </c>
      <c r="B31" s="4">
        <v>1</v>
      </c>
      <c r="C31" s="4">
        <v>101.74</v>
      </c>
      <c r="D31" s="6" t="s">
        <v>17</v>
      </c>
      <c r="E31" s="36"/>
      <c r="F31" s="37">
        <f t="shared" si="0"/>
        <v>101.74</v>
      </c>
      <c r="G31" s="38">
        <f t="shared" si="1"/>
        <v>0</v>
      </c>
      <c r="H31" s="8"/>
      <c r="I31" s="8"/>
    </row>
    <row r="32" spans="1:10" ht="21" customHeight="1" x14ac:dyDescent="0.35">
      <c r="A32" s="4" t="s">
        <v>36</v>
      </c>
      <c r="B32" s="4">
        <v>2</v>
      </c>
      <c r="C32" s="4">
        <v>34.99</v>
      </c>
      <c r="D32" s="6" t="s">
        <v>29</v>
      </c>
      <c r="E32" s="36">
        <v>35</v>
      </c>
      <c r="F32" s="37">
        <f t="shared" si="0"/>
        <v>-9.9999999999980105E-3</v>
      </c>
      <c r="G32" s="38">
        <f t="shared" si="1"/>
        <v>1.0002857959416975</v>
      </c>
      <c r="H32" s="39">
        <v>46139</v>
      </c>
      <c r="I32" s="8" t="s">
        <v>68</v>
      </c>
      <c r="J32" s="1" t="s">
        <v>100</v>
      </c>
    </row>
    <row r="33" spans="1:10" ht="21" customHeight="1" x14ac:dyDescent="0.35">
      <c r="A33" s="4" t="s">
        <v>36</v>
      </c>
      <c r="B33" s="4">
        <v>3</v>
      </c>
      <c r="C33" s="4">
        <v>301.24</v>
      </c>
      <c r="D33" s="6" t="s">
        <v>29</v>
      </c>
      <c r="E33" s="36">
        <v>301.2</v>
      </c>
      <c r="F33" s="37">
        <f t="shared" si="0"/>
        <v>4.0000000000020464E-2</v>
      </c>
      <c r="G33" s="38">
        <f t="shared" si="1"/>
        <v>0.99986721550922841</v>
      </c>
      <c r="H33" s="39">
        <v>46132</v>
      </c>
      <c r="I33" s="8" t="s">
        <v>68</v>
      </c>
      <c r="J33" s="1" t="s">
        <v>100</v>
      </c>
    </row>
    <row r="34" spans="1:10" ht="21" customHeight="1" x14ac:dyDescent="0.35">
      <c r="A34" s="4" t="s">
        <v>36</v>
      </c>
      <c r="B34" s="4">
        <v>4</v>
      </c>
      <c r="C34" s="4">
        <v>180.2</v>
      </c>
      <c r="D34" s="6" t="s">
        <v>29</v>
      </c>
      <c r="E34" s="36">
        <v>180.2</v>
      </c>
      <c r="F34" s="37">
        <f t="shared" ref="F34:F54" si="2">IF(C34&gt;0,C34-E34,"")</f>
        <v>0</v>
      </c>
      <c r="G34" s="38">
        <f t="shared" ref="G34:G54" si="3">IF(C34&gt;0,E34/C34,"")</f>
        <v>1</v>
      </c>
      <c r="H34" s="39">
        <v>46141</v>
      </c>
      <c r="I34" s="8" t="s">
        <v>68</v>
      </c>
      <c r="J34" s="1" t="s">
        <v>102</v>
      </c>
    </row>
    <row r="35" spans="1:10" ht="21" hidden="1" customHeight="1" x14ac:dyDescent="0.35">
      <c r="A35" s="4" t="s">
        <v>36</v>
      </c>
      <c r="B35" s="4">
        <v>5</v>
      </c>
      <c r="C35" s="4">
        <v>59.08</v>
      </c>
      <c r="D35" s="6" t="s">
        <v>17</v>
      </c>
      <c r="E35" s="36"/>
      <c r="F35" s="37">
        <f t="shared" si="2"/>
        <v>59.08</v>
      </c>
      <c r="G35" s="38">
        <f t="shared" si="3"/>
        <v>0</v>
      </c>
      <c r="H35" s="8"/>
      <c r="I35" s="8"/>
    </row>
    <row r="36" spans="1:10" ht="21" hidden="1" customHeight="1" x14ac:dyDescent="0.35">
      <c r="A36" s="4" t="s">
        <v>36</v>
      </c>
      <c r="B36" s="4">
        <v>7</v>
      </c>
      <c r="C36" s="4">
        <v>46.79</v>
      </c>
      <c r="D36" s="6" t="s">
        <v>17</v>
      </c>
      <c r="E36" s="36">
        <v>46.79</v>
      </c>
      <c r="F36" s="37">
        <f t="shared" si="2"/>
        <v>0</v>
      </c>
      <c r="G36" s="38">
        <f t="shared" si="3"/>
        <v>1</v>
      </c>
      <c r="H36" s="39">
        <v>46132</v>
      </c>
      <c r="I36" s="8" t="s">
        <v>69</v>
      </c>
    </row>
    <row r="37" spans="1:10" ht="21" hidden="1" customHeight="1" x14ac:dyDescent="0.35">
      <c r="A37" s="4" t="s">
        <v>36</v>
      </c>
      <c r="B37" s="4">
        <v>8</v>
      </c>
      <c r="C37" s="4">
        <v>59.05</v>
      </c>
      <c r="D37" s="6" t="s">
        <v>17</v>
      </c>
      <c r="E37" s="36">
        <v>59.05</v>
      </c>
      <c r="F37" s="37">
        <f t="shared" si="2"/>
        <v>0</v>
      </c>
      <c r="G37" s="38">
        <f t="shared" si="3"/>
        <v>1</v>
      </c>
      <c r="H37" s="39">
        <v>46132</v>
      </c>
      <c r="I37" s="8" t="s">
        <v>69</v>
      </c>
    </row>
    <row r="38" spans="1:10" ht="21" hidden="1" customHeight="1" x14ac:dyDescent="0.35">
      <c r="A38" s="4" t="s">
        <v>36</v>
      </c>
      <c r="B38" s="4">
        <v>9</v>
      </c>
      <c r="C38" s="4">
        <v>103.45</v>
      </c>
      <c r="D38" s="6" t="s">
        <v>17</v>
      </c>
      <c r="E38" s="36">
        <v>103.45</v>
      </c>
      <c r="F38" s="37">
        <f t="shared" si="2"/>
        <v>0</v>
      </c>
      <c r="G38" s="38">
        <f t="shared" si="3"/>
        <v>1</v>
      </c>
      <c r="H38" s="39">
        <v>46132</v>
      </c>
      <c r="I38" s="8" t="s">
        <v>69</v>
      </c>
    </row>
    <row r="39" spans="1:10" ht="21" customHeight="1" x14ac:dyDescent="0.35">
      <c r="A39" s="4" t="s">
        <v>36</v>
      </c>
      <c r="B39" s="4">
        <v>10</v>
      </c>
      <c r="C39" s="4">
        <v>101.88</v>
      </c>
      <c r="D39" s="6" t="s">
        <v>29</v>
      </c>
      <c r="E39" s="36">
        <v>101.9</v>
      </c>
      <c r="F39" s="37">
        <f t="shared" si="2"/>
        <v>-2.0000000000010232E-2</v>
      </c>
      <c r="G39" s="38">
        <f t="shared" si="3"/>
        <v>1.0001963093835886</v>
      </c>
      <c r="H39" s="39">
        <v>46139</v>
      </c>
      <c r="I39" s="8" t="s">
        <v>68</v>
      </c>
      <c r="J39" s="1" t="s">
        <v>100</v>
      </c>
    </row>
    <row r="40" spans="1:10" ht="21" hidden="1" customHeight="1" x14ac:dyDescent="0.35">
      <c r="A40" s="4" t="s">
        <v>36</v>
      </c>
      <c r="B40" s="4">
        <v>11</v>
      </c>
      <c r="C40" s="4">
        <v>53.38</v>
      </c>
      <c r="D40" s="6" t="s">
        <v>17</v>
      </c>
      <c r="E40" s="36"/>
      <c r="F40" s="37">
        <f t="shared" si="2"/>
        <v>53.38</v>
      </c>
      <c r="G40" s="38">
        <f t="shared" si="3"/>
        <v>0</v>
      </c>
      <c r="H40" s="8"/>
      <c r="I40" s="8"/>
    </row>
    <row r="41" spans="1:10" ht="21" hidden="1" customHeight="1" x14ac:dyDescent="0.35">
      <c r="A41" s="4" t="s">
        <v>36</v>
      </c>
      <c r="B41" s="4">
        <v>12</v>
      </c>
      <c r="C41" s="4">
        <v>102.7</v>
      </c>
      <c r="D41" s="6" t="s">
        <v>17</v>
      </c>
      <c r="E41" s="36">
        <v>102.7</v>
      </c>
      <c r="F41" s="37">
        <f t="shared" si="2"/>
        <v>0</v>
      </c>
      <c r="G41" s="38">
        <f t="shared" si="3"/>
        <v>1</v>
      </c>
      <c r="H41" s="39">
        <v>46127</v>
      </c>
      <c r="I41" s="8" t="s">
        <v>69</v>
      </c>
    </row>
    <row r="42" spans="1:10" ht="21" hidden="1" customHeight="1" x14ac:dyDescent="0.35">
      <c r="A42" s="4" t="s">
        <v>36</v>
      </c>
      <c r="B42" s="4">
        <v>13</v>
      </c>
      <c r="C42" s="4">
        <v>87.11</v>
      </c>
      <c r="D42" s="6" t="s">
        <v>17</v>
      </c>
      <c r="E42" s="36">
        <v>87.11</v>
      </c>
      <c r="F42" s="37">
        <f t="shared" si="2"/>
        <v>0</v>
      </c>
      <c r="G42" s="38">
        <f t="shared" si="3"/>
        <v>1</v>
      </c>
      <c r="H42" s="39">
        <v>46134</v>
      </c>
      <c r="I42" s="8" t="s">
        <v>69</v>
      </c>
    </row>
    <row r="43" spans="1:10" ht="21" hidden="1" customHeight="1" x14ac:dyDescent="0.35">
      <c r="A43" s="4" t="s">
        <v>36</v>
      </c>
      <c r="B43" s="4">
        <v>14</v>
      </c>
      <c r="C43" s="4">
        <v>59.42</v>
      </c>
      <c r="D43" s="6" t="s">
        <v>17</v>
      </c>
      <c r="E43" s="36">
        <v>59.42</v>
      </c>
      <c r="F43" s="37">
        <f t="shared" si="2"/>
        <v>0</v>
      </c>
      <c r="G43" s="38">
        <f t="shared" si="3"/>
        <v>1</v>
      </c>
      <c r="H43" s="39">
        <v>46134</v>
      </c>
      <c r="I43" s="8" t="s">
        <v>69</v>
      </c>
    </row>
    <row r="44" spans="1:10" ht="21" hidden="1" customHeight="1" x14ac:dyDescent="0.35">
      <c r="A44" s="4" t="s">
        <v>36</v>
      </c>
      <c r="B44" s="4">
        <v>15</v>
      </c>
      <c r="C44" s="4">
        <v>35.96</v>
      </c>
      <c r="D44" s="6" t="s">
        <v>17</v>
      </c>
      <c r="E44" s="36">
        <v>35.96</v>
      </c>
      <c r="F44" s="37">
        <f t="shared" si="2"/>
        <v>0</v>
      </c>
      <c r="G44" s="38">
        <f t="shared" si="3"/>
        <v>1</v>
      </c>
      <c r="H44" s="39">
        <v>46134</v>
      </c>
      <c r="I44" s="8" t="s">
        <v>69</v>
      </c>
    </row>
    <row r="45" spans="1:10" ht="21" customHeight="1" x14ac:dyDescent="0.35">
      <c r="A45" s="4" t="s">
        <v>39</v>
      </c>
      <c r="B45" s="4" t="s">
        <v>40</v>
      </c>
      <c r="C45" s="4">
        <v>386.2</v>
      </c>
      <c r="D45" s="6" t="s">
        <v>38</v>
      </c>
      <c r="E45" s="36"/>
      <c r="F45" s="37">
        <f t="shared" si="2"/>
        <v>386.2</v>
      </c>
      <c r="G45" s="38">
        <f t="shared" si="3"/>
        <v>0</v>
      </c>
      <c r="H45" s="8"/>
      <c r="I45" s="8"/>
    </row>
    <row r="46" spans="1:10" ht="21" hidden="1" customHeight="1" x14ac:dyDescent="0.35">
      <c r="A46" s="4" t="s">
        <v>39</v>
      </c>
      <c r="B46" s="4" t="s">
        <v>70</v>
      </c>
      <c r="C46" s="4">
        <v>120</v>
      </c>
      <c r="D46" s="6" t="s">
        <v>17</v>
      </c>
      <c r="E46" s="36"/>
      <c r="F46" s="37">
        <f t="shared" si="2"/>
        <v>120</v>
      </c>
      <c r="G46" s="38">
        <f t="shared" si="3"/>
        <v>0</v>
      </c>
      <c r="H46" s="8"/>
      <c r="I46" s="8"/>
    </row>
    <row r="47" spans="1:10" ht="21" customHeight="1" x14ac:dyDescent="0.35">
      <c r="A47" s="4" t="s">
        <v>39</v>
      </c>
      <c r="B47" s="4" t="s">
        <v>41</v>
      </c>
      <c r="C47" s="4">
        <v>153.04</v>
      </c>
      <c r="D47" s="6" t="s">
        <v>38</v>
      </c>
      <c r="E47" s="36"/>
      <c r="F47" s="37">
        <f t="shared" si="2"/>
        <v>153.04</v>
      </c>
      <c r="G47" s="38">
        <f t="shared" si="3"/>
        <v>0</v>
      </c>
      <c r="H47" s="8"/>
      <c r="I47" s="8"/>
    </row>
    <row r="48" spans="1:10" ht="21" customHeight="1" x14ac:dyDescent="0.35">
      <c r="A48" s="4" t="s">
        <v>39</v>
      </c>
      <c r="B48" s="4" t="s">
        <v>42</v>
      </c>
      <c r="C48" s="4">
        <v>189.75</v>
      </c>
      <c r="D48" s="6" t="s">
        <v>38</v>
      </c>
      <c r="E48" s="36">
        <v>52</v>
      </c>
      <c r="F48" s="37">
        <f t="shared" si="2"/>
        <v>137.75</v>
      </c>
      <c r="G48" s="38">
        <f t="shared" si="3"/>
        <v>0.27404479578392621</v>
      </c>
      <c r="H48" s="39">
        <v>46161</v>
      </c>
      <c r="I48" s="8" t="s">
        <v>115</v>
      </c>
      <c r="J48" s="1" t="s">
        <v>116</v>
      </c>
    </row>
    <row r="49" spans="1:9" ht="21" customHeight="1" x14ac:dyDescent="0.35">
      <c r="A49" s="4" t="s">
        <v>39</v>
      </c>
      <c r="B49" s="4" t="s">
        <v>45</v>
      </c>
      <c r="C49" s="4">
        <v>169.61</v>
      </c>
      <c r="D49" s="6" t="s">
        <v>38</v>
      </c>
      <c r="E49" s="36"/>
      <c r="F49" s="37">
        <f t="shared" si="2"/>
        <v>169.61</v>
      </c>
      <c r="G49" s="38">
        <f t="shared" si="3"/>
        <v>0</v>
      </c>
      <c r="H49" s="8"/>
      <c r="I49" s="8"/>
    </row>
    <row r="50" spans="1:9" ht="21" customHeight="1" x14ac:dyDescent="0.35">
      <c r="A50" s="4" t="s">
        <v>39</v>
      </c>
      <c r="B50" s="4" t="s">
        <v>71</v>
      </c>
      <c r="C50" s="4">
        <v>118.35</v>
      </c>
      <c r="D50" s="6" t="s">
        <v>38</v>
      </c>
      <c r="E50" s="36"/>
      <c r="F50" s="37">
        <f t="shared" si="2"/>
        <v>118.35</v>
      </c>
      <c r="G50" s="38">
        <f t="shared" si="3"/>
        <v>0</v>
      </c>
      <c r="H50" s="8"/>
      <c r="I50" s="8"/>
    </row>
    <row r="51" spans="1:9" ht="21" customHeight="1" x14ac:dyDescent="0.35">
      <c r="A51" s="4" t="s">
        <v>39</v>
      </c>
      <c r="B51" s="4" t="s">
        <v>47</v>
      </c>
      <c r="C51" s="4">
        <v>243.29</v>
      </c>
      <c r="D51" s="6" t="s">
        <v>38</v>
      </c>
      <c r="E51" s="36"/>
      <c r="F51" s="37">
        <f t="shared" si="2"/>
        <v>243.29</v>
      </c>
      <c r="G51" s="38">
        <f t="shared" si="3"/>
        <v>0</v>
      </c>
      <c r="H51" s="8"/>
      <c r="I51" s="8"/>
    </row>
    <row r="52" spans="1:9" ht="21" hidden="1" customHeight="1" x14ac:dyDescent="0.35">
      <c r="A52" s="4" t="s">
        <v>39</v>
      </c>
      <c r="B52" s="4" t="s">
        <v>48</v>
      </c>
      <c r="C52" s="4">
        <v>201.78</v>
      </c>
      <c r="D52" s="6" t="s">
        <v>17</v>
      </c>
      <c r="E52" s="36"/>
      <c r="F52" s="37">
        <f t="shared" si="2"/>
        <v>201.78</v>
      </c>
      <c r="G52" s="38">
        <f t="shared" si="3"/>
        <v>0</v>
      </c>
      <c r="H52" s="8"/>
      <c r="I52" s="8"/>
    </row>
    <row r="53" spans="1:9" ht="21" hidden="1" customHeight="1" x14ac:dyDescent="0.35">
      <c r="A53" s="4" t="s">
        <v>39</v>
      </c>
      <c r="B53" s="4" t="s">
        <v>49</v>
      </c>
      <c r="C53" s="4">
        <v>150.52000000000001</v>
      </c>
      <c r="D53" s="6" t="s">
        <v>17</v>
      </c>
      <c r="E53" s="36"/>
      <c r="F53" s="37">
        <f t="shared" si="2"/>
        <v>150.52000000000001</v>
      </c>
      <c r="G53" s="38">
        <f t="shared" si="3"/>
        <v>0</v>
      </c>
      <c r="H53" s="8"/>
      <c r="I53" s="8"/>
    </row>
    <row r="54" spans="1:9" ht="21" hidden="1" customHeight="1" x14ac:dyDescent="0.35">
      <c r="A54" s="4" t="s">
        <v>39</v>
      </c>
      <c r="B54" s="4" t="s">
        <v>50</v>
      </c>
      <c r="C54" s="4">
        <v>225.15</v>
      </c>
      <c r="D54" s="6" t="s">
        <v>17</v>
      </c>
      <c r="E54" s="36"/>
      <c r="F54" s="37">
        <f t="shared" si="2"/>
        <v>225.15</v>
      </c>
      <c r="G54" s="38">
        <f t="shared" si="3"/>
        <v>0</v>
      </c>
      <c r="H54" s="8"/>
      <c r="I54" s="8"/>
    </row>
    <row r="56" spans="1:9" ht="15" customHeight="1" x14ac:dyDescent="0.25">
      <c r="A56" s="13" t="s">
        <v>72</v>
      </c>
    </row>
    <row r="57" spans="1:9" x14ac:dyDescent="0.25">
      <c r="A57" s="14" t="s">
        <v>52</v>
      </c>
      <c r="B57" s="14" t="s">
        <v>73</v>
      </c>
      <c r="C57" s="14" t="s">
        <v>74</v>
      </c>
      <c r="D57" s="14" t="s">
        <v>55</v>
      </c>
    </row>
    <row r="58" spans="1:9" ht="15" customHeight="1" x14ac:dyDescent="0.25">
      <c r="A58" s="31" t="s">
        <v>75</v>
      </c>
      <c r="B58" s="15">
        <f>SUMIF(D$2:D$55,"Cz",C$2:C$55)</f>
        <v>1225.8499999999999</v>
      </c>
      <c r="C58" s="15">
        <f>SUMIF(D$2:D$55,"Cz",E$2:E$55)</f>
        <v>1022.36</v>
      </c>
      <c r="D58" s="16">
        <f>IF(B58&gt;0,C58/B58,"")</f>
        <v>0.83400089733654204</v>
      </c>
    </row>
    <row r="59" spans="1:9" ht="15" customHeight="1" x14ac:dyDescent="0.25">
      <c r="A59" s="33" t="s">
        <v>76</v>
      </c>
      <c r="B59" s="20">
        <f>SUMIF(D$2:D$55,"Tr",C$2:C$55)</f>
        <v>621.17000000000007</v>
      </c>
      <c r="C59" s="20">
        <f>SUMIF(D$2:D$55,"Tr",E$2:E$55)</f>
        <v>0</v>
      </c>
      <c r="D59" s="21">
        <f>IF(B59&gt;0,C59/B59,"")</f>
        <v>0</v>
      </c>
    </row>
    <row r="60" spans="1:9" ht="15" customHeight="1" x14ac:dyDescent="0.25">
      <c r="A60" s="31" t="s">
        <v>77</v>
      </c>
      <c r="B60" s="15">
        <f>SUMIF(D$2:D$55,"Ceb",C$2:C$55)</f>
        <v>1260.24</v>
      </c>
      <c r="C60" s="15">
        <f>SUMIF(D$2:D$55,"Ceb",E$2:E$55)</f>
        <v>52</v>
      </c>
      <c r="D60" s="16">
        <f>IF(B60&gt;0,C60/B60,"")</f>
        <v>4.1261981844727985E-2</v>
      </c>
    </row>
    <row r="61" spans="1:9" ht="15" customHeight="1" x14ac:dyDescent="0.25">
      <c r="A61" s="25" t="s">
        <v>60</v>
      </c>
      <c r="B61" s="26">
        <f>SUM(B58:B60)</f>
        <v>3107.26</v>
      </c>
      <c r="C61" s="26">
        <f>SUM(C58:C60)</f>
        <v>1074.3600000000001</v>
      </c>
      <c r="D61" s="27">
        <f>IF(B61&gt;0,C61/B61,"")</f>
        <v>0.34575799900877302</v>
      </c>
    </row>
    <row r="63" spans="1:9" ht="15" customHeight="1" x14ac:dyDescent="0.25">
      <c r="A63" s="13" t="s">
        <v>78</v>
      </c>
    </row>
    <row r="64" spans="1:9" x14ac:dyDescent="0.25">
      <c r="A64" s="14" t="s">
        <v>0</v>
      </c>
      <c r="B64" s="14" t="s">
        <v>52</v>
      </c>
      <c r="C64" s="14" t="s">
        <v>73</v>
      </c>
      <c r="D64" s="14" t="s">
        <v>74</v>
      </c>
      <c r="E64" s="14" t="s">
        <v>55</v>
      </c>
    </row>
    <row r="65" spans="1:5" ht="15" customHeight="1" x14ac:dyDescent="0.25">
      <c r="A65" s="31" t="s">
        <v>15</v>
      </c>
      <c r="B65" s="32" t="s">
        <v>75</v>
      </c>
      <c r="C65" s="15">
        <f>SUMPRODUCT((A$2:A$55="Malacara")*(D$2:D$55="Cz")*C$2:C$55)</f>
        <v>203.49</v>
      </c>
      <c r="D65" s="15">
        <f>SUMPRODUCT((A$2:A$55="Malacara")*(D$2:D$55="Cz")*E$2:E$55)</f>
        <v>0</v>
      </c>
      <c r="E65" s="16">
        <f t="shared" ref="E65:E72" si="4">IF(C65&gt;0,D65/C65,"")</f>
        <v>0</v>
      </c>
    </row>
    <row r="66" spans="1:5" ht="15" customHeight="1" x14ac:dyDescent="0.25">
      <c r="A66" s="33" t="s">
        <v>27</v>
      </c>
      <c r="B66" s="34" t="s">
        <v>76</v>
      </c>
      <c r="C66" s="20">
        <f>SUMPRODUCT((A$2:A$55="Montecristo")*(D$2:D$55="Tr")*C$2:C$55)</f>
        <v>319.17</v>
      </c>
      <c r="D66" s="20">
        <f>SUMPRODUCT((A$2:A$55="Montecristo")*(D$2:D$55="Tr")*E$2:E$55)</f>
        <v>0</v>
      </c>
      <c r="E66" s="21">
        <f t="shared" si="4"/>
        <v>0</v>
      </c>
    </row>
    <row r="67" spans="1:5" ht="15" customHeight="1" x14ac:dyDescent="0.25">
      <c r="A67" s="31" t="s">
        <v>30</v>
      </c>
      <c r="B67" s="32" t="s">
        <v>76</v>
      </c>
      <c r="C67" s="15">
        <f>SUMPRODUCT((A$2:A$55="Pereira")*(D$2:D$55="Tr")*C$2:C$55)</f>
        <v>302</v>
      </c>
      <c r="D67" s="15">
        <f>SUMPRODUCT((A$2:A$55="Pereira")*(D$2:D$55="Tr")*E$2:E$55)</f>
        <v>0</v>
      </c>
      <c r="E67" s="16">
        <f t="shared" si="4"/>
        <v>0</v>
      </c>
    </row>
    <row r="68" spans="1:5" ht="15" customHeight="1" x14ac:dyDescent="0.25">
      <c r="A68" s="33" t="s">
        <v>33</v>
      </c>
      <c r="B68" s="34" t="s">
        <v>75</v>
      </c>
      <c r="C68" s="20">
        <f>SUMPRODUCT((A$2:A$55="La Campana")*(D$2:D$55="Cz")*C$2:C$55)</f>
        <v>265.17</v>
      </c>
      <c r="D68" s="20">
        <f>SUMPRODUCT((A$2:A$55="La Campana")*(D$2:D$55="Cz")*E$2:E$55)</f>
        <v>265.18</v>
      </c>
      <c r="E68" s="21">
        <f t="shared" si="4"/>
        <v>1.000037711656673</v>
      </c>
    </row>
    <row r="69" spans="1:5" ht="15" customHeight="1" x14ac:dyDescent="0.25">
      <c r="A69" s="76" t="s">
        <v>35</v>
      </c>
      <c r="B69" s="77" t="s">
        <v>75</v>
      </c>
      <c r="C69" s="78">
        <f>SUMPRODUCT((A$2:A$55="San Luis")*(D$2:D$55="Cz")*C$2:C$55)</f>
        <v>138.88</v>
      </c>
      <c r="D69" s="78">
        <f>SUMPRODUCT((A$2:A$55="San Luis")*(D$2:D$55="Cz")*E$2:E$55)</f>
        <v>138.88</v>
      </c>
      <c r="E69" s="79">
        <f t="shared" si="4"/>
        <v>1</v>
      </c>
    </row>
    <row r="70" spans="1:5" ht="15" customHeight="1" x14ac:dyDescent="0.25">
      <c r="A70" s="33" t="s">
        <v>36</v>
      </c>
      <c r="B70" s="34" t="s">
        <v>75</v>
      </c>
      <c r="C70" s="20">
        <f>SUMPRODUCT((A$2:A$55="La Blanqueada")*(D$2:D$55="Cz")*C$2:C$55)</f>
        <v>618.31000000000006</v>
      </c>
      <c r="D70" s="20">
        <f>SUMPRODUCT((A$2:A$55="La Blanqueada")*(D$2:D$55="Cz")*E$2:E$55)</f>
        <v>618.29999999999995</v>
      </c>
      <c r="E70" s="21">
        <f t="shared" si="4"/>
        <v>0.99998382688295495</v>
      </c>
    </row>
    <row r="71" spans="1:5" ht="15" customHeight="1" x14ac:dyDescent="0.25">
      <c r="A71" s="31" t="s">
        <v>39</v>
      </c>
      <c r="B71" s="32" t="s">
        <v>77</v>
      </c>
      <c r="C71" s="15">
        <f>SUMPRODUCT((A$2:A$55="Santa Rafaela")*(D$2:D$55="Ceb")*C$2:C$55)</f>
        <v>1260.24</v>
      </c>
      <c r="D71" s="15">
        <f>SUMPRODUCT((A$2:A$55="Santa Rafaela")*(D$2:D$55="Ceb")*E$2:E$55)</f>
        <v>52</v>
      </c>
      <c r="E71" s="16">
        <f t="shared" si="4"/>
        <v>4.1261981844727985E-2</v>
      </c>
    </row>
    <row r="72" spans="1:5" ht="15" customHeight="1" x14ac:dyDescent="0.25">
      <c r="A72" s="25" t="s">
        <v>60</v>
      </c>
      <c r="B72" s="35"/>
      <c r="C72" s="26">
        <f>SUM(C65:C71)</f>
        <v>3107.26</v>
      </c>
      <c r="D72" s="26">
        <f>SUM(D65:D71)</f>
        <v>1074.3599999999999</v>
      </c>
      <c r="E72" s="27">
        <f t="shared" si="4"/>
        <v>0.34575799900877296</v>
      </c>
    </row>
  </sheetData>
  <autoFilter ref="A1:I54" xr:uid="{00000000-0009-0000-0000-000001000000}">
    <filterColumn colId="3">
      <filters>
        <filter val="Ceb"/>
        <filter val="Cz"/>
        <filter val="Tr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F8F1-453C-4259-97F7-9810D6B71FDA}">
  <dimension ref="B1:L14"/>
  <sheetViews>
    <sheetView topLeftCell="D1" workbookViewId="0">
      <selection activeCell="P5" sqref="P5"/>
    </sheetView>
  </sheetViews>
  <sheetFormatPr baseColWidth="10" defaultRowHeight="15" x14ac:dyDescent="0.25"/>
  <cols>
    <col min="2" max="2" width="30.28515625" bestFit="1" customWidth="1"/>
    <col min="3" max="3" width="16.42578125" bestFit="1" customWidth="1"/>
    <col min="4" max="4" width="17.28515625" bestFit="1" customWidth="1"/>
    <col min="5" max="5" width="6.28515625" bestFit="1" customWidth="1"/>
    <col min="6" max="6" width="18.85546875" bestFit="1" customWidth="1"/>
    <col min="7" max="7" width="10.42578125" bestFit="1" customWidth="1"/>
    <col min="11" max="11" width="12.85546875" bestFit="1" customWidth="1"/>
  </cols>
  <sheetData>
    <row r="1" spans="2:12" x14ac:dyDescent="0.25">
      <c r="B1" s="62" t="s">
        <v>83</v>
      </c>
      <c r="C1" s="63"/>
      <c r="D1" s="63"/>
      <c r="E1" s="63"/>
      <c r="F1" s="63"/>
      <c r="G1" s="63"/>
      <c r="H1" s="63"/>
    </row>
    <row r="2" spans="2:12" x14ac:dyDescent="0.25">
      <c r="B2" s="64" t="s">
        <v>84</v>
      </c>
      <c r="C2" s="65" t="s">
        <v>85</v>
      </c>
      <c r="D2" s="65" t="s">
        <v>86</v>
      </c>
      <c r="E2" s="65" t="s">
        <v>87</v>
      </c>
      <c r="F2" s="65" t="s">
        <v>88</v>
      </c>
      <c r="G2" s="65" t="s">
        <v>89</v>
      </c>
      <c r="H2" s="65" t="s">
        <v>90</v>
      </c>
    </row>
    <row r="3" spans="2:12" x14ac:dyDescent="0.25">
      <c r="B3" s="69" t="s">
        <v>91</v>
      </c>
      <c r="C3" s="66">
        <v>203</v>
      </c>
      <c r="D3" s="66">
        <v>203</v>
      </c>
      <c r="E3" s="67">
        <v>1</v>
      </c>
      <c r="F3" s="66">
        <v>0</v>
      </c>
      <c r="G3" s="66">
        <v>444</v>
      </c>
      <c r="H3" s="68">
        <v>21.8</v>
      </c>
    </row>
    <row r="4" spans="2:12" x14ac:dyDescent="0.25">
      <c r="B4" s="69" t="s">
        <v>92</v>
      </c>
      <c r="C4" s="66">
        <v>265</v>
      </c>
      <c r="D4" s="66">
        <v>220</v>
      </c>
      <c r="E4" s="67">
        <v>0.83</v>
      </c>
      <c r="F4" s="66">
        <v>45</v>
      </c>
      <c r="G4" s="66">
        <v>276</v>
      </c>
      <c r="H4" s="68">
        <v>12.6</v>
      </c>
    </row>
    <row r="5" spans="2:12" x14ac:dyDescent="0.25">
      <c r="B5" s="64" t="s">
        <v>93</v>
      </c>
      <c r="C5" s="65">
        <v>469</v>
      </c>
      <c r="D5" s="65">
        <v>423</v>
      </c>
      <c r="E5" s="70">
        <v>0.9</v>
      </c>
      <c r="F5" s="65">
        <v>45</v>
      </c>
      <c r="G5" s="65">
        <v>720</v>
      </c>
      <c r="H5" s="65">
        <v>17</v>
      </c>
      <c r="K5" s="1" t="s">
        <v>0</v>
      </c>
      <c r="L5" s="73">
        <v>46149</v>
      </c>
    </row>
    <row r="6" spans="2:12" x14ac:dyDescent="0.25">
      <c r="B6" s="63"/>
      <c r="C6" s="63"/>
      <c r="D6" s="63"/>
      <c r="E6" s="63"/>
      <c r="F6" s="63"/>
      <c r="G6" s="63"/>
      <c r="H6" s="63"/>
      <c r="K6" s="1" t="s">
        <v>39</v>
      </c>
      <c r="L6" s="1">
        <v>52</v>
      </c>
    </row>
    <row r="7" spans="2:12" x14ac:dyDescent="0.25">
      <c r="B7" s="64" t="s">
        <v>94</v>
      </c>
      <c r="C7" s="63"/>
      <c r="D7" s="63"/>
      <c r="E7" s="63"/>
      <c r="F7" s="63"/>
      <c r="G7" s="63"/>
      <c r="H7" s="63"/>
      <c r="K7" s="1" t="s">
        <v>15</v>
      </c>
      <c r="L7" s="1">
        <v>48</v>
      </c>
    </row>
    <row r="8" spans="2:12" x14ac:dyDescent="0.25">
      <c r="B8" s="64" t="s">
        <v>84</v>
      </c>
      <c r="C8" s="65" t="s">
        <v>85</v>
      </c>
      <c r="D8" s="65" t="s">
        <v>86</v>
      </c>
      <c r="E8" s="65" t="s">
        <v>87</v>
      </c>
      <c r="F8" s="65" t="s">
        <v>88</v>
      </c>
      <c r="G8" s="65" t="s">
        <v>89</v>
      </c>
      <c r="H8" s="65" t="s">
        <v>90</v>
      </c>
      <c r="K8" s="1" t="s">
        <v>27</v>
      </c>
      <c r="L8" s="1">
        <v>40</v>
      </c>
    </row>
    <row r="9" spans="2:12" x14ac:dyDescent="0.25">
      <c r="B9" s="69" t="s">
        <v>95</v>
      </c>
      <c r="C9" s="66">
        <v>769</v>
      </c>
      <c r="D9" s="66">
        <v>261</v>
      </c>
      <c r="E9" s="67">
        <v>0.34</v>
      </c>
      <c r="F9" s="66">
        <v>508</v>
      </c>
      <c r="G9" s="66">
        <v>421</v>
      </c>
      <c r="H9" s="68">
        <v>16.2</v>
      </c>
      <c r="K9" s="1" t="s">
        <v>33</v>
      </c>
      <c r="L9" s="1">
        <v>130</v>
      </c>
    </row>
    <row r="10" spans="2:12" x14ac:dyDescent="0.25">
      <c r="B10" s="69" t="s">
        <v>96</v>
      </c>
      <c r="C10" s="66">
        <v>494</v>
      </c>
      <c r="D10" s="66">
        <v>407</v>
      </c>
      <c r="E10" s="67">
        <v>0.82</v>
      </c>
      <c r="F10" s="66">
        <v>87</v>
      </c>
      <c r="G10" s="66">
        <v>595</v>
      </c>
      <c r="H10" s="68">
        <v>14.6</v>
      </c>
      <c r="K10" s="1" t="s">
        <v>35</v>
      </c>
      <c r="L10" s="1">
        <v>110</v>
      </c>
    </row>
    <row r="11" spans="2:12" x14ac:dyDescent="0.25">
      <c r="B11" s="64" t="s">
        <v>93</v>
      </c>
      <c r="C11" s="71">
        <v>4388</v>
      </c>
      <c r="D11" s="65">
        <v>668</v>
      </c>
      <c r="E11" s="70">
        <v>0.15</v>
      </c>
      <c r="F11" s="71">
        <v>3720</v>
      </c>
      <c r="G11" s="71">
        <v>1016</v>
      </c>
      <c r="H11" s="65">
        <v>15.2</v>
      </c>
    </row>
    <row r="12" spans="2:12" x14ac:dyDescent="0.25">
      <c r="B12" s="63"/>
      <c r="C12" s="63"/>
      <c r="D12" s="63"/>
      <c r="E12" s="63"/>
      <c r="F12" s="63"/>
      <c r="G12" s="63"/>
      <c r="H12" s="63"/>
    </row>
    <row r="13" spans="2:12" x14ac:dyDescent="0.25">
      <c r="B13" s="64" t="s">
        <v>97</v>
      </c>
      <c r="C13" s="65" t="s">
        <v>85</v>
      </c>
      <c r="D13" s="65" t="s">
        <v>86</v>
      </c>
      <c r="E13" s="65" t="s">
        <v>87</v>
      </c>
      <c r="F13" s="65" t="s">
        <v>88</v>
      </c>
      <c r="G13" s="65" t="s">
        <v>89</v>
      </c>
      <c r="H13" s="72" t="s">
        <v>90</v>
      </c>
    </row>
    <row r="14" spans="2:12" x14ac:dyDescent="0.25">
      <c r="B14" s="64"/>
      <c r="C14" s="71">
        <v>4857</v>
      </c>
      <c r="D14" s="71">
        <v>1092</v>
      </c>
      <c r="E14" s="70">
        <v>0.22</v>
      </c>
      <c r="F14" s="71">
        <v>3765</v>
      </c>
      <c r="G14" s="71">
        <v>1736</v>
      </c>
      <c r="H14" s="72">
        <v>15.9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E239-D04F-47C2-AFE1-1D260465006A}">
  <dimension ref="B1:F9"/>
  <sheetViews>
    <sheetView workbookViewId="0">
      <selection activeCell="I14" sqref="I14"/>
    </sheetView>
  </sheetViews>
  <sheetFormatPr baseColWidth="10" defaultRowHeight="15" x14ac:dyDescent="0.25"/>
  <cols>
    <col min="2" max="2" width="11.85546875" bestFit="1" customWidth="1"/>
    <col min="3" max="3" width="11.85546875" customWidth="1"/>
    <col min="4" max="4" width="12.5703125" bestFit="1" customWidth="1"/>
    <col min="5" max="5" width="14.7109375" bestFit="1" customWidth="1"/>
  </cols>
  <sheetData>
    <row r="1" spans="2:6" x14ac:dyDescent="0.25">
      <c r="D1" s="80" t="s">
        <v>109</v>
      </c>
      <c r="E1" s="80"/>
      <c r="F1" t="s">
        <v>112</v>
      </c>
    </row>
    <row r="2" spans="2:6" x14ac:dyDescent="0.25">
      <c r="B2" t="s">
        <v>103</v>
      </c>
      <c r="C2" t="s">
        <v>73</v>
      </c>
      <c r="D2" t="s">
        <v>105</v>
      </c>
      <c r="E2" t="s">
        <v>106</v>
      </c>
      <c r="F2" t="s">
        <v>113</v>
      </c>
    </row>
    <row r="3" spans="2:6" x14ac:dyDescent="0.25">
      <c r="B3" t="s">
        <v>104</v>
      </c>
      <c r="C3">
        <v>900</v>
      </c>
      <c r="D3">
        <v>2</v>
      </c>
      <c r="E3" s="74">
        <f>60*0.38</f>
        <v>22.8</v>
      </c>
      <c r="F3">
        <v>2</v>
      </c>
    </row>
    <row r="4" spans="2:6" x14ac:dyDescent="0.25">
      <c r="B4" t="s">
        <v>107</v>
      </c>
      <c r="C4">
        <v>3000</v>
      </c>
      <c r="D4">
        <v>4</v>
      </c>
      <c r="E4" s="74">
        <f>122*0.38</f>
        <v>46.36</v>
      </c>
      <c r="F4">
        <v>5</v>
      </c>
    </row>
    <row r="5" spans="2:6" x14ac:dyDescent="0.25">
      <c r="B5" t="s">
        <v>108</v>
      </c>
      <c r="C5">
        <v>5700</v>
      </c>
      <c r="D5">
        <v>6</v>
      </c>
      <c r="E5">
        <v>83</v>
      </c>
      <c r="F5">
        <v>6</v>
      </c>
    </row>
    <row r="6" spans="2:6" x14ac:dyDescent="0.25">
      <c r="B6" t="s">
        <v>110</v>
      </c>
      <c r="C6">
        <v>4300</v>
      </c>
      <c r="D6">
        <v>6</v>
      </c>
      <c r="E6">
        <f>+D6*13</f>
        <v>78</v>
      </c>
      <c r="F6">
        <v>4</v>
      </c>
    </row>
    <row r="7" spans="2:6" x14ac:dyDescent="0.25">
      <c r="B7" t="s">
        <v>111</v>
      </c>
      <c r="C7">
        <v>8600</v>
      </c>
      <c r="D7">
        <v>5</v>
      </c>
      <c r="E7">
        <f>+D7*13</f>
        <v>65</v>
      </c>
      <c r="F7">
        <v>5</v>
      </c>
    </row>
    <row r="8" spans="2:6" x14ac:dyDescent="0.25">
      <c r="C8">
        <f>SUM(C3:C7)</f>
        <v>22500</v>
      </c>
      <c r="D8">
        <f>SUM(D3:D7)</f>
        <v>23</v>
      </c>
      <c r="E8" s="74">
        <f>SUM(E3:E7)</f>
        <v>295.15999999999997</v>
      </c>
      <c r="F8">
        <f>SUM(F3:F7)</f>
        <v>22</v>
      </c>
    </row>
    <row r="9" spans="2:6" x14ac:dyDescent="0.25">
      <c r="E9" s="75">
        <f>+C8/E8</f>
        <v>76.229841441929807</v>
      </c>
      <c r="F9" s="75">
        <f>+C8/F8</f>
        <v>1022.7272727272727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Avance cosecha</vt:lpstr>
      <vt:lpstr>Avance de siembra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Nicolas Arocha</cp:lastModifiedBy>
  <cp:revision>0</cp:revision>
  <dcterms:created xsi:type="dcterms:W3CDTF">2015-06-05T18:19:34Z</dcterms:created>
  <dcterms:modified xsi:type="dcterms:W3CDTF">2026-05-20T10:18:50Z</dcterms:modified>
  <dc:language>en-US</dc:language>
</cp:coreProperties>
</file>