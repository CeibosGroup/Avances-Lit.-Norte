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C6BCE2DB-7277-475D-BCE7-ACA0B9FBEC86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<sst xmlns="http://schemas.openxmlformats.org/spreadsheetml/2006/main" count="567" uniqueCount="114">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</sst>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abSelected="1" topLeftCell="A44" zoomScaleNormal="100" workbookViewId="0">
      <selection activeCell="L60" sqref="L60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35</v>
      </c>
      <c r="L3" s="1">
        <v>2560</v>
      </c>
      <c r="M3" s="9">
        <f t="shared" si="0"/>
        <v>0.16279069767441862</v>
      </c>
      <c r="N3" s="10">
        <f t="shared" si="1"/>
        <v>760</v>
      </c>
      <c r="O3" s="11">
        <f t="shared" si="2"/>
        <v>0.42222222222222222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38</v>
      </c>
      <c r="L4" s="1">
        <v>2020</v>
      </c>
      <c r="M4" s="9">
        <f t="shared" si="0"/>
        <v>0.82358040745557004</v>
      </c>
      <c r="N4" s="10">
        <f t="shared" si="1"/>
        <v>220</v>
      </c>
      <c r="O4" s="11">
        <f t="shared" si="2"/>
        <v>0.12222222222222222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1298</v>
      </c>
      <c r="M9" s="9">
        <f t="shared" si="0"/>
        <v>1</v>
      </c>
      <c r="N9" s="10">
        <f t="shared" si="1"/>
        <v>-502</v>
      </c>
      <c r="O9" s="11">
        <f t="shared" si="2"/>
        <v>-0.27888888888888891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M13" s="9">
        <f t="shared" si="0"/>
        <v>0</v>
      </c>
      <c r="N13" s="10" t="str">
        <f t="shared" si="1"/>
        <v/>
      </c>
      <c r="O13" s="11" t="str">
        <f t="shared" si="2"/>
        <v/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M14" s="9">
        <f t="shared" si="0"/>
        <v>0</v>
      </c>
      <c r="N14" s="10" t="str">
        <f t="shared" si="1"/>
        <v/>
      </c>
      <c r="O14" s="11" t="str">
        <f t="shared" si="2"/>
        <v/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M19" s="9">
        <f t="shared" si="0"/>
        <v>0</v>
      </c>
      <c r="N19" s="10" t="str">
        <f t="shared" si="1"/>
        <v/>
      </c>
      <c r="O19" s="11" t="str">
        <f t="shared" si="2"/>
        <v/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M20" s="9">
        <f t="shared" si="0"/>
        <v>0</v>
      </c>
      <c r="N20" s="10" t="str">
        <f t="shared" si="1"/>
        <v/>
      </c>
      <c r="O20" s="11" t="str">
        <f t="shared" si="2"/>
        <v/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1000</v>
      </c>
      <c r="M23" s="9">
        <f t="shared" si="0"/>
        <v>1</v>
      </c>
      <c r="N23" s="10">
        <f t="shared" si="1"/>
        <v>-700</v>
      </c>
      <c r="O23" s="11">
        <f t="shared" si="2"/>
        <v>-0.41176470588235292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35.5</v>
      </c>
      <c r="L25" s="1">
        <v>1630</v>
      </c>
      <c r="M25" s="9">
        <f t="shared" si="0"/>
        <v>0.52406259226454088</v>
      </c>
      <c r="N25" s="10">
        <f t="shared" si="1"/>
        <v>-170</v>
      </c>
      <c r="O25" s="11">
        <f t="shared" si="2"/>
        <v>-9.4444444444444442E-2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1301</v>
      </c>
      <c r="M26" s="9">
        <f t="shared" si="0"/>
        <v>1</v>
      </c>
      <c r="N26" s="10">
        <f t="shared" si="1"/>
        <v>-499</v>
      </c>
      <c r="O26" s="11">
        <f t="shared" si="2"/>
        <v>-0.2772222222222222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12.7</v>
      </c>
      <c r="L27" s="1">
        <v>1400</v>
      </c>
      <c r="M27" s="9">
        <f t="shared" si="0"/>
        <v>0.4096774193548387</v>
      </c>
      <c r="N27" s="10">
        <f t="shared" si="1"/>
        <v>-300</v>
      </c>
      <c r="O27" s="11">
        <f t="shared" si="2"/>
        <v>-0.17647058823529413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M28" s="9">
        <f t="shared" si="0"/>
        <v>0</v>
      </c>
      <c r="N28" s="10" t="str">
        <f t="shared" si="1"/>
        <v/>
      </c>
      <c r="O28" s="11" t="str">
        <f t="shared" si="2"/>
        <v/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M29" s="9">
        <f t="shared" si="0"/>
        <v>0</v>
      </c>
      <c r="N29" s="10" t="str">
        <f t="shared" si="1"/>
        <v/>
      </c>
      <c r="O29" s="11" t="str">
        <f t="shared" si="2"/>
        <v/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1520</v>
      </c>
      <c r="M33" s="9">
        <f t="shared" si="0"/>
        <v>1</v>
      </c>
      <c r="N33" s="10">
        <f t="shared" si="1"/>
        <v>-480</v>
      </c>
      <c r="O33" s="11">
        <f t="shared" si="2"/>
        <v>-0.24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M34" s="9">
        <f t="shared" si="0"/>
        <v>0</v>
      </c>
      <c r="N34" s="10" t="str">
        <f t="shared" si="1"/>
        <v/>
      </c>
      <c r="O34" s="11" t="str">
        <f t="shared" si="2"/>
        <v/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M37" s="9">
        <f t="shared" si="0"/>
        <v>0</v>
      </c>
      <c r="N37" s="10" t="str">
        <f t="shared" si="1"/>
        <v/>
      </c>
      <c r="O37" s="11" t="str">
        <f t="shared" si="2"/>
        <v/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139</v>
      </c>
      <c r="L39" s="1">
        <v>1800</v>
      </c>
      <c r="M39" s="9">
        <f t="shared" si="0"/>
        <v>0.73254281949934119</v>
      </c>
      <c r="N39" s="10">
        <f t="shared" si="1"/>
        <v>-200</v>
      </c>
      <c r="O39" s="11">
        <f t="shared" si="2"/>
        <v>-0.1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M40" s="9">
        <f t="shared" si="0"/>
        <v>0</v>
      </c>
      <c r="N40" s="10" t="str">
        <f t="shared" si="1"/>
        <v/>
      </c>
      <c r="O40" s="11" t="str">
        <f t="shared" si="2"/>
        <v/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44</v>
      </c>
      <c r="L42" s="1">
        <v>2100</v>
      </c>
      <c r="M42" s="9">
        <f t="shared" si="0"/>
        <v>0.18085412470713963</v>
      </c>
      <c r="N42" s="10">
        <f t="shared" si="1"/>
        <v>0</v>
      </c>
      <c r="O42" s="11">
        <f t="shared" si="2"/>
        <v>0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143</v>
      </c>
      <c r="L44" s="1">
        <v>2230</v>
      </c>
      <c r="M44" s="9">
        <f t="shared" si="0"/>
        <v>0.95003986181238365</v>
      </c>
      <c r="N44" s="10">
        <f t="shared" si="1"/>
        <v>230</v>
      </c>
      <c r="O44" s="11">
        <f t="shared" si="2"/>
        <v>0.115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450.37000000000006</v>
      </c>
      <c r="D49" s="16">
        <f>IF(B49&gt;0,C49/B49,"")</f>
        <v>0.96095333603601685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1670.9781512978213</v>
      </c>
      <c r="G49" s="18">
        <f>IF(F49&lt;&gt;"",F49-E49,"")</f>
        <v>-376.38779915772284</v>
      </c>
      <c r="H49" s="19">
        <f>IF(AND(F49&lt;&gt;"",E49&gt;0),(F49-E49)/E49,"")</f>
        <v>-0.18384002091759688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1374.3999999999999</v>
      </c>
      <c r="D50" s="21">
        <f>IF(B50&gt;0,C50/B50,"")</f>
        <v>0.33719084501340763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1605.2783396391153</v>
      </c>
      <c r="G50" s="23">
        <f>IF(F50&lt;&gt;"",F50-E50,"")</f>
        <v>-332.62054726799761</v>
      </c>
      <c r="H50" s="24">
        <f>IF(AND(F50&lt;&gt;"",E50&gt;0),(F50-E50)/E50,"")</f>
        <v>-0.17163978446721753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1824.77</v>
      </c>
      <c r="D51" s="27">
        <f>IF(B51&gt;0,C51/B51,"")</f>
        <v>0.40151605166457627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1621.4936567348211</v>
      </c>
      <c r="G51" s="29">
        <f>IF(F51&lt;&gt;"",F51-E51,"")</f>
        <v>-327.69396841095272</v>
      </c>
      <c r="H51" s="30">
        <f>IF(AND(F51&lt;&gt;"",E51&gt;0),(F51-E51)/E51,"")</f>
        <v>-0.1681182274007334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246.87</v>
      </c>
      <c r="E56" s="49">
        <f t="shared" si="3"/>
        <v>0.93098766828826784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1251.3810102483089</v>
      </c>
      <c r="H56" s="51">
        <f t="shared" si="4"/>
        <v>-448.61898975169106</v>
      </c>
      <c r="I56" s="52">
        <f t="shared" si="5"/>
        <v>-0.26389352338334771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580.95999999999992</v>
      </c>
      <c r="E57" s="43">
        <f t="shared" si="3"/>
        <v>0.75537641399037825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1479.111178050124</v>
      </c>
      <c r="H57" s="45">
        <f t="shared" si="4"/>
        <v>-320.88882194987605</v>
      </c>
      <c r="I57" s="46">
        <f t="shared" si="5"/>
        <v>-0.17827156774993114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0</v>
      </c>
      <c r="E58" s="49">
        <f t="shared" si="3"/>
        <v>0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 t="str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/>
      </c>
      <c r="H58" s="51" t="str">
        <f t="shared" si="4"/>
        <v/>
      </c>
      <c r="I58" s="52" t="str">
        <f t="shared" si="5"/>
        <v/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0</v>
      </c>
      <c r="E59" s="43">
        <f t="shared" si="3"/>
        <v>0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 t="str">
        <f>IF(SUMPRODUCT((A$2:A$45="Pereira")*(F$2:F$45="Sj2")*(K$2:K$45&gt;0)*K$2:K$45)&gt;0,SUMPRODUCT((A$2:A$45="Pereira")*(F$2:F$45="Sj2")*(K$2:K$45&gt;0)*K$2:K$45*L$2:L$45)/SUMPRODUCT((A$2:A$45="Pereira")*(F$2:F$45="Sj2")*(K$2:K$45&gt;0)*K$2:K$45),"")</f>
        <v/>
      </c>
      <c r="H59" s="45" t="str">
        <f t="shared" si="4"/>
        <v/>
      </c>
      <c r="I59" s="46" t="str">
        <f t="shared" si="5"/>
        <v/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60.019999999999996</v>
      </c>
      <c r="E60" s="49">
        <f t="shared" si="3"/>
        <v>0.37686801456737412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1495.5934688437189</v>
      </c>
      <c r="H60" s="51">
        <f t="shared" si="4"/>
        <v>-304.40653115628106</v>
      </c>
      <c r="I60" s="52">
        <f t="shared" si="5"/>
        <v>-0.16911473953126727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0</v>
      </c>
      <c r="E61" s="43">
        <f t="shared" si="3"/>
        <v>0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 t="str">
        <f>IF(SUMPRODUCT((A$2:A$45="San Luis")*(F$2:F$45="Sj2")*(K$2:K$45&gt;0)*K$2:K$45)&gt;0,SUMPRODUCT((A$2:A$45="San Luis")*(F$2:F$45="Sj2")*(K$2:K$45&gt;0)*K$2:K$45*L$2:L$45)/SUMPRODUCT((A$2:A$45="San Luis")*(F$2:F$45="Sj2")*(K$2:K$45&gt;0)*K$2:K$45),"")</f>
        <v/>
      </c>
      <c r="H61" s="45" t="str">
        <f t="shared" si="4"/>
        <v/>
      </c>
      <c r="I61" s="46" t="str">
        <f t="shared" si="5"/>
        <v/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407.42</v>
      </c>
      <c r="E62" s="49">
        <f t="shared" si="3"/>
        <v>0.82393625626921208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1462.2124588876343</v>
      </c>
      <c r="H62" s="51">
        <f t="shared" si="4"/>
        <v>-460.22929810961523</v>
      </c>
      <c r="I62" s="52">
        <f t="shared" si="5"/>
        <v>-0.23939830501209494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326</v>
      </c>
      <c r="E63" s="43">
        <f t="shared" si="3"/>
        <v>0.1773966229342272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2029.1104294478528</v>
      </c>
      <c r="H63" s="45">
        <f t="shared" si="4"/>
        <v>-29.344478616075321</v>
      </c>
      <c r="I63" s="46">
        <f t="shared" si="5"/>
        <v>-1.4255584856932891E-2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1824.77</v>
      </c>
      <c r="E64" s="56">
        <f t="shared" si="3"/>
        <v>0.40151605166457632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1621.4936567348211</v>
      </c>
      <c r="H64" s="58">
        <f t="shared" si="4"/>
        <v>-327.69396841095318</v>
      </c>
      <c r="I64" s="59">
        <f t="shared" si="5"/>
        <v>-0.16811822740073359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opLeftCell="A57" zoomScaleNormal="100" workbookViewId="0">
      <selection activeCell="G68" sqref="G68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/>
      <c r="F23" s="37">
        <f t="shared" si="0"/>
        <v>63.11</v>
      </c>
      <c r="G23" s="38">
        <f t="shared" si="1"/>
        <v>0</v>
      </c>
      <c r="H23" s="8"/>
      <c r="I23" s="8"/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/>
      <c r="F24" s="37">
        <f t="shared" si="0"/>
        <v>71.48</v>
      </c>
      <c r="G24" s="38">
        <f t="shared" si="1"/>
        <v>0</v>
      </c>
      <c r="H24" s="8"/>
      <c r="I24" s="8"/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/>
      <c r="F27" s="37">
        <f t="shared" si="0"/>
        <v>31</v>
      </c>
      <c r="G27" s="38">
        <f t="shared" si="1"/>
        <v>0</v>
      </c>
      <c r="H27" s="8"/>
      <c r="I27" s="8"/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757.18</v>
      </c>
      <c r="D58" s="16">
        <f>IF(B58&gt;0,C58/B58,"")</f>
        <v>0.61767752987722802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757.18</v>
      </c>
      <c r="D61" s="27">
        <f>IF(B61&gt;0,C61/B61,"")</f>
        <v>0.24368092789145418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0</v>
      </c>
      <c r="E68" s="21">
        <f t="shared" si="4"/>
        <v>0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757.18</v>
      </c>
      <c r="E72" s="27">
        <f t="shared" si="4"/>
        <v>0.24368092789145418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2026-05-13T12:46:28Z</dcterms:modified>
  <dc:language>en-US</dc:language>
</cp:coreProperties>
</file>