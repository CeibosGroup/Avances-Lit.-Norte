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9253158-859D-4D4F-A42F-FA9C654DDAF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<sst xmlns="http://schemas.openxmlformats.org/spreadsheetml/2006/main" count="569" uniqueCount="114">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</sst>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opLeftCell="A33" zoomScaleNormal="100" workbookViewId="0">
      <selection activeCell="L44" sqref="L44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1650</v>
      </c>
      <c r="M3" s="9">
        <f t="shared" si="0"/>
        <v>1</v>
      </c>
      <c r="N3" s="10">
        <f t="shared" si="1"/>
        <v>-150</v>
      </c>
      <c r="O3" s="11">
        <f t="shared" si="2"/>
        <v>-8.3333333333333329E-2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M19" s="9">
        <f t="shared" si="0"/>
        <v>0</v>
      </c>
      <c r="N19" s="10" t="str">
        <f t="shared" si="1"/>
        <v/>
      </c>
      <c r="O19" s="11" t="str">
        <f t="shared" si="2"/>
        <v/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138</v>
      </c>
      <c r="L20" s="1">
        <v>1700</v>
      </c>
      <c r="M20" s="9">
        <f t="shared" si="0"/>
        <v>0.72631578947368425</v>
      </c>
      <c r="N20" s="10">
        <f t="shared" si="1"/>
        <v>-200</v>
      </c>
      <c r="O20" s="11">
        <f t="shared" si="2"/>
        <v>-0.10526315789473684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1722</v>
      </c>
      <c r="M25" s="9">
        <f t="shared" si="0"/>
        <v>1</v>
      </c>
      <c r="N25" s="10">
        <f t="shared" si="1"/>
        <v>-78</v>
      </c>
      <c r="O25" s="11">
        <f t="shared" si="2"/>
        <v>-4.3333333333333335E-2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1240</v>
      </c>
      <c r="M28" s="9">
        <f t="shared" si="0"/>
        <v>1</v>
      </c>
      <c r="N28" s="10">
        <f t="shared" si="1"/>
        <v>-560</v>
      </c>
      <c r="O28" s="11">
        <f t="shared" si="2"/>
        <v>-0.31111111111111112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M29" s="9">
        <f t="shared" si="0"/>
        <v>0</v>
      </c>
      <c r="N29" s="10" t="str">
        <f t="shared" si="1"/>
        <v/>
      </c>
      <c r="O29" s="11" t="str">
        <f t="shared" si="2"/>
        <v/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1387</v>
      </c>
      <c r="M34" s="9">
        <f t="shared" si="0"/>
        <v>1</v>
      </c>
      <c r="N34" s="10">
        <f t="shared" si="1"/>
        <v>-413</v>
      </c>
      <c r="O34" s="11">
        <f t="shared" si="2"/>
        <v>-0.22944444444444445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M37" s="9">
        <f t="shared" si="0"/>
        <v>0</v>
      </c>
      <c r="N37" s="10" t="str">
        <f t="shared" si="1"/>
        <v/>
      </c>
      <c r="O37" s="11" t="str">
        <f t="shared" si="2"/>
        <v/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1720</v>
      </c>
      <c r="M39" s="9">
        <f t="shared" si="0"/>
        <v>1</v>
      </c>
      <c r="N39" s="10">
        <f t="shared" si="1"/>
        <v>-280</v>
      </c>
      <c r="O39" s="11">
        <f t="shared" si="2"/>
        <v>-0.14000000000000001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106</v>
      </c>
      <c r="L40" s="1">
        <v>2030</v>
      </c>
      <c r="M40" s="9">
        <f t="shared" si="0"/>
        <v>0.62496315075762032</v>
      </c>
      <c r="N40" s="10">
        <f t="shared" si="1"/>
        <v>-270</v>
      </c>
      <c r="O40" s="11">
        <f t="shared" si="2"/>
        <v>-0.11739130434782609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2297</v>
      </c>
      <c r="M42" s="9">
        <f t="shared" si="0"/>
        <v>1</v>
      </c>
      <c r="N42" s="10">
        <f t="shared" si="1"/>
        <v>197</v>
      </c>
      <c r="O42" s="11">
        <f t="shared" si="2"/>
        <v>9.3809523809523815E-2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1633.9395096763178</v>
      </c>
      <c r="G49" s="18">
        <f>IF(F49&lt;&gt;"",F49-E49,"")</f>
        <v>-413.42644077922637</v>
      </c>
      <c r="H49" s="19">
        <f>IF(AND(F49&lt;&gt;"",E49&gt;0),(F49-E49)/E49,"")</f>
        <v>-0.20193089598234157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2250.4500000000003</v>
      </c>
      <c r="D50" s="21">
        <f>IF(B50&gt;0,C50/B50,"")</f>
        <v>0.55211811493045937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1657.4872003377097</v>
      </c>
      <c r="G50" s="23">
        <f>IF(F50&lt;&gt;"",F50-E50,"")</f>
        <v>-280.41168656940317</v>
      </c>
      <c r="H50" s="24">
        <f>IF(AND(F50&lt;&gt;"",E50&gt;0),(F50-E50)/E50,"")</f>
        <v>-0.1446988222470886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2719.1200000000003</v>
      </c>
      <c r="D51" s="27">
        <f>IF(B51&gt;0,C51/B51,"")</f>
        <v>0.59830571874931238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1653.4284989261232</v>
      </c>
      <c r="G51" s="29">
        <f>IF(F51&lt;&gt;"",F51-E51,"")</f>
        <v>-295.75912621965062</v>
      </c>
      <c r="H51" s="30">
        <f>IF(AND(F51&lt;&gt;"",E51&gt;0),(F51-E51)/E51,"")</f>
        <v>-0.15173455977463005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1214.8750989930988</v>
      </c>
      <c r="H56" s="51">
        <f t="shared" si="4"/>
        <v>-485.12490100690115</v>
      </c>
      <c r="I56" s="52">
        <f t="shared" si="5"/>
        <v>-0.28536758882758889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1481.795306202054</v>
      </c>
      <c r="H57" s="45">
        <f t="shared" si="4"/>
        <v>-318.20469379794599</v>
      </c>
      <c r="I57" s="46">
        <f t="shared" si="5"/>
        <v>-0.17678038544330332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138</v>
      </c>
      <c r="E59" s="43">
        <f t="shared" si="3"/>
        <v>0.45695364238410596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1700</v>
      </c>
      <c r="H59" s="45">
        <f t="shared" si="4"/>
        <v>-200</v>
      </c>
      <c r="I59" s="46">
        <f t="shared" si="5"/>
        <v>-0.10526315789473684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1441.9357026246389</v>
      </c>
      <c r="H60" s="51">
        <f t="shared" si="4"/>
        <v>-358.06429737536109</v>
      </c>
      <c r="I60" s="52">
        <f t="shared" si="5"/>
        <v>-0.1989246096529784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0</v>
      </c>
      <c r="E61" s="43">
        <f t="shared" si="3"/>
        <v>0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 t="str">
        <f>IF(SUMPRODUCT((A$2:A$45="San Luis")*(F$2:F$45="Sj2")*(K$2:K$45&gt;0)*K$2:K$45)&gt;0,SUMPRODUCT((A$2:A$45="San Luis")*(F$2:F$45="Sj2")*(K$2:K$45&gt;0)*K$2:K$45*L$2:L$45)/SUMPRODUCT((A$2:A$45="San Luis")*(F$2:F$45="Sj2")*(K$2:K$45&gt;0)*K$2:K$45),"")</f>
        <v/>
      </c>
      <c r="H61" s="45" t="str">
        <f t="shared" si="4"/>
        <v/>
      </c>
      <c r="I61" s="46" t="str">
        <f t="shared" si="5"/>
        <v/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1430.2735324449475</v>
      </c>
      <c r="H62" s="51">
        <f t="shared" si="4"/>
        <v>-492.16822455230204</v>
      </c>
      <c r="I62" s="52">
        <f t="shared" si="5"/>
        <v>-0.2560120340504059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689.56</v>
      </c>
      <c r="E63" s="43">
        <f t="shared" si="3"/>
        <v>0.37523194880529354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2057.6707610650269</v>
      </c>
      <c r="H63" s="45">
        <f t="shared" si="4"/>
        <v>-0.78414699890117845</v>
      </c>
      <c r="I63" s="46">
        <f t="shared" si="5"/>
        <v>-3.8093960466625181E-4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2719.12</v>
      </c>
      <c r="E64" s="56">
        <f t="shared" si="3"/>
        <v>0.59830571874931238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1653.4284989261232</v>
      </c>
      <c r="H64" s="58">
        <f t="shared" si="4"/>
        <v>-295.75912621965108</v>
      </c>
      <c r="I64" s="59">
        <f t="shared" si="5"/>
        <v>-0.15173455977463027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abSelected="1" topLeftCell="A18" zoomScaleNormal="100" workbookViewId="0">
      <selection activeCell="J27" sqref="J27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40</v>
      </c>
      <c r="F24" s="37">
        <f t="shared" si="0"/>
        <v>31.480000000000004</v>
      </c>
      <c r="G24" s="38">
        <f t="shared" si="1"/>
        <v>0.55959709009513148</v>
      </c>
      <c r="H24" s="39">
        <v>46157</v>
      </c>
      <c r="I24" s="8" t="s">
        <v>98</v>
      </c>
      <c r="J24" s="1" t="s">
        <v>101</v>
      </c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/>
      <c r="F27" s="37">
        <f t="shared" si="0"/>
        <v>31</v>
      </c>
      <c r="G27" s="38">
        <f t="shared" si="1"/>
        <v>0</v>
      </c>
      <c r="H27" s="8"/>
      <c r="I27" s="8"/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797.18</v>
      </c>
      <c r="D58" s="16">
        <f>IF(B58&gt;0,C58/B58,"")</f>
        <v>0.65030794958600158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797.18</v>
      </c>
      <c r="D61" s="27">
        <f>IF(B61&gt;0,C61/B61,"")</f>
        <v>0.25655400578001192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40</v>
      </c>
      <c r="E68" s="21">
        <f t="shared" si="4"/>
        <v>0.15084662669231058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797.18</v>
      </c>
      <c r="E72" s="27">
        <f t="shared" si="4"/>
        <v>0.25655400578001192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2026-05-16T12:59:24Z</dcterms:modified>
  <dc:language>en-US</dc:language>
</cp:coreProperties>
</file>