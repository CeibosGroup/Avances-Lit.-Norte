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B1727D6E-320C-4D82-AC06-E3FF2D8689F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Avance cosecha" sheetId="1" r:id="rId1"/>
    <sheet name="Avance de siembra" sheetId="2" r:id="rId2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9" i="2" l="1"/>
  <c r="F23" i="2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72" i="2"/>
  <c r="H49" i="1"/>
  <c r="D50" i="1"/>
  <c r="E55" i="1"/>
  <c r="H58" i="1"/>
  <c r="D49" i="1"/>
  <c r="H55" i="1"/>
  <c r="D61" i="2" l="1"/>
  <c r="E72" i="2"/>
</calcChain>
</file>

<file path=xl/sharedStrings.xml><?xml version="1.0" encoding="utf-8"?>
<sst xmlns="http://schemas.openxmlformats.org/spreadsheetml/2006/main" count="539" uniqueCount="92">
  <si>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</si>
  <si>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</si>
  <si>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</si>
  <si>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</si>
  <si>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</si>
  <si>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</si>
  <si>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</si>
  <si>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</si>
  <si>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</si>
  <si>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</si>
  <si>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</si>
  <si>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</si>
  <si>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</si>
  <si>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</si>
  <si>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</si>
  <si>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</si>
  <si>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</si>
  <si>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</si>
  <si>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</si>
  <si>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</si>
  <si>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</si>
  <si>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</si>
  <si>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</si>
  <si>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</si>
  <si>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</si>
  <si>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</si>
  <si>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</si>
  <si>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</si>
  <si>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</si>
  <si>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</si>
  <si>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</si>
  <si>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</si>
  <si>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</si>
  <si>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</si>
  <si>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</si>
  <si>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</si>
  <si>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</si>
  <si>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</si>
  <si>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</si>
  <si>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</si>
  <si>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</si>
  <si>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</si>
  <si>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</si>
  <si>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</si>
  <si>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</si>
  <si>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</si>
  <si>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</si>
  <si>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</si>
  <si>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</si>
  <si>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</si>
  <si>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</si>
  <si>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</si>
  <si>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</si>
  <si>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</si>
  <si>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</si>
  <si>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</si>
  <si>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</si>
  <si>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</si>
  <si>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</si>
  <si>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</si>
  <si>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</si>
  <si>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</si>
  <si>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</si>
  <si>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</si>
  <si>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</si>
  <si>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</si>
  <si>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</si>
  <si>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</si>
  <si>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</si>
  <si>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</si>
  <si>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</si>
  <si>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</si>
  <si>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</si>
  <si>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</si>
  <si>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</si>
  <si>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</si>
  <si>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</si>
  <si>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</si>
  <si>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</si>
  <si>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</si>
  <si>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</si>
  <si>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</si>
  <si>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</si>
  <si>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Presicion Planting</t>
  </si>
  <si>
    <t>Variedad</t>
  </si>
  <si>
    <t>Curry</t>
  </si>
  <si>
    <t>Hyola 575</t>
  </si>
  <si>
    <t>Curry/hyola 575</t>
  </si>
  <si>
    <t>Nuola300</t>
  </si>
  <si>
    <t>Araña</t>
  </si>
  <si>
    <t>Osiris</t>
  </si>
  <si>
    <t xml:space="preserve">ha Resembradas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</si>
</sst>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3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FFFF00"/>
        <bgColor rgb="FFEDEDED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168" fontId="4" fillId="9" borderId="1" xfId="0" applyNumberFormat="1" applyFon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abSelected="1" topLeftCell="A37" zoomScaleNormal="100" workbookViewId="0">
      <selection activeCell="L46" sqref="L46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215</v>
      </c>
      <c r="L3" s="1">
        <v>1792</v>
      </c>
      <c r="M3" s="9">
        <f t="shared" si="0"/>
        <v>1</v>
      </c>
      <c r="N3" s="10">
        <f t="shared" si="1"/>
        <v>-8</v>
      </c>
      <c r="O3" s="11">
        <f t="shared" si="2"/>
        <v>-4.4444444444444444E-3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46.14</v>
      </c>
      <c r="L4" s="1">
        <v>2075</v>
      </c>
      <c r="M4" s="9">
        <f t="shared" si="0"/>
        <v>1</v>
      </c>
      <c r="N4" s="10">
        <f t="shared" si="1"/>
        <v>275</v>
      </c>
      <c r="O4" s="11">
        <f t="shared" si="2"/>
        <v>0.15277777777777779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1284</v>
      </c>
      <c r="M9" s="9">
        <f t="shared" si="0"/>
        <v>1</v>
      </c>
      <c r="N9" s="10">
        <f t="shared" si="1"/>
        <v>-516</v>
      </c>
      <c r="O9" s="11">
        <f t="shared" si="2"/>
        <v>-0.28666666666666668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K12" s="1">
        <v>52.63</v>
      </c>
      <c r="L12" s="1">
        <v>1153</v>
      </c>
      <c r="M12" s="9">
        <f t="shared" si="0"/>
        <v>1</v>
      </c>
      <c r="N12" s="10">
        <f t="shared" si="1"/>
        <v>-647</v>
      </c>
      <c r="O12" s="11">
        <f t="shared" si="2"/>
        <v>-0.35944444444444446</v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K13" s="1">
        <v>60.61</v>
      </c>
      <c r="L13" s="1">
        <v>1362</v>
      </c>
      <c r="M13" s="9">
        <f t="shared" si="0"/>
        <v>1</v>
      </c>
      <c r="N13" s="10">
        <f t="shared" si="1"/>
        <v>-438</v>
      </c>
      <c r="O13" s="11">
        <f t="shared" si="2"/>
        <v>-0.24333333333333335</v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K14" s="1">
        <v>56.69</v>
      </c>
      <c r="L14" s="1">
        <v>1390</v>
      </c>
      <c r="M14" s="9">
        <f t="shared" si="0"/>
        <v>1</v>
      </c>
      <c r="N14" s="10">
        <f t="shared" si="1"/>
        <v>-310</v>
      </c>
      <c r="O14" s="11">
        <f t="shared" si="2"/>
        <v>-0.18235294117647058</v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K15" s="1">
        <v>49.78</v>
      </c>
      <c r="L15" s="1">
        <v>1270</v>
      </c>
      <c r="M15" s="9">
        <f t="shared" si="0"/>
        <v>1</v>
      </c>
      <c r="N15" s="10">
        <f t="shared" si="1"/>
        <v>-530</v>
      </c>
      <c r="O15" s="11">
        <f t="shared" si="2"/>
        <v>-0.29444444444444445</v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K16" s="1">
        <v>26.67</v>
      </c>
      <c r="L16" s="1">
        <v>800</v>
      </c>
      <c r="M16" s="9">
        <f t="shared" si="0"/>
        <v>1</v>
      </c>
      <c r="N16" s="10">
        <f t="shared" si="1"/>
        <v>-800</v>
      </c>
      <c r="O16" s="11">
        <f t="shared" si="2"/>
        <v>-0.5</v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K17" s="1">
        <v>23</v>
      </c>
      <c r="L17" s="1">
        <v>850</v>
      </c>
      <c r="M17" s="9">
        <f t="shared" si="0"/>
        <v>0.67726737338044762</v>
      </c>
      <c r="N17" s="10">
        <f t="shared" si="1"/>
        <v>-750</v>
      </c>
      <c r="O17" s="11">
        <f t="shared" si="2"/>
        <v>-0.46875</v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K19" s="1">
        <v>112</v>
      </c>
      <c r="L19" s="1">
        <v>1470</v>
      </c>
      <c r="M19" s="9">
        <f t="shared" si="0"/>
        <v>1</v>
      </c>
      <c r="N19" s="10">
        <f t="shared" si="1"/>
        <v>-430</v>
      </c>
      <c r="O19" s="11">
        <f t="shared" si="2"/>
        <v>-0.22631578947368422</v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K20" s="1">
        <v>190</v>
      </c>
      <c r="L20" s="1">
        <v>1470</v>
      </c>
      <c r="M20" s="9">
        <f t="shared" si="0"/>
        <v>1</v>
      </c>
      <c r="N20" s="10">
        <f t="shared" si="1"/>
        <v>-430</v>
      </c>
      <c r="O20" s="11">
        <f t="shared" si="2"/>
        <v>-0.22631578947368422</v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1010</v>
      </c>
      <c r="M23" s="9">
        <f t="shared" si="0"/>
        <v>1</v>
      </c>
      <c r="N23" s="10">
        <f t="shared" si="1"/>
        <v>-690</v>
      </c>
      <c r="O23" s="11">
        <f t="shared" si="2"/>
        <v>-0.40588235294117647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1670</v>
      </c>
      <c r="M25" s="9">
        <f t="shared" si="0"/>
        <v>1</v>
      </c>
      <c r="N25" s="10">
        <f t="shared" si="1"/>
        <v>-130</v>
      </c>
      <c r="O25" s="11">
        <f t="shared" si="2"/>
        <v>-7.2222222222222215E-2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1000</v>
      </c>
      <c r="M27" s="9">
        <f t="shared" si="0"/>
        <v>1</v>
      </c>
      <c r="N27" s="10">
        <f t="shared" si="1"/>
        <v>-700</v>
      </c>
      <c r="O27" s="11">
        <f t="shared" si="2"/>
        <v>-0.41176470588235292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K28" s="1">
        <v>67</v>
      </c>
      <c r="L28" s="1">
        <v>1250</v>
      </c>
      <c r="M28" s="9">
        <f t="shared" si="0"/>
        <v>1</v>
      </c>
      <c r="N28" s="10">
        <f t="shared" si="1"/>
        <v>-550</v>
      </c>
      <c r="O28" s="11">
        <f t="shared" si="2"/>
        <v>-0.30555555555555558</v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K29" s="1">
        <v>141.69999999999999</v>
      </c>
      <c r="L29" s="1">
        <v>1920</v>
      </c>
      <c r="M29" s="9">
        <f t="shared" si="0"/>
        <v>1</v>
      </c>
      <c r="N29" s="10">
        <f t="shared" si="1"/>
        <v>20</v>
      </c>
      <c r="O29" s="11">
        <f t="shared" si="2"/>
        <v>1.0526315789473684E-2</v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1430</v>
      </c>
      <c r="M33" s="9">
        <f t="shared" si="0"/>
        <v>1</v>
      </c>
      <c r="N33" s="10">
        <f t="shared" si="1"/>
        <v>-570</v>
      </c>
      <c r="O33" s="11">
        <f t="shared" si="2"/>
        <v>-0.28499999999999998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87.11</v>
      </c>
      <c r="L34" s="1">
        <v>1400</v>
      </c>
      <c r="M34" s="9">
        <f t="shared" si="0"/>
        <v>1</v>
      </c>
      <c r="N34" s="10">
        <f t="shared" si="1"/>
        <v>-400</v>
      </c>
      <c r="O34" s="11">
        <f t="shared" si="2"/>
        <v>-0.22222222222222221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1696</v>
      </c>
      <c r="M36" s="9">
        <f t="shared" si="0"/>
        <v>1</v>
      </c>
      <c r="N36" s="10">
        <f t="shared" si="1"/>
        <v>-304</v>
      </c>
      <c r="O36" s="11">
        <f t="shared" si="2"/>
        <v>-0.152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K37" s="1">
        <v>386.2</v>
      </c>
      <c r="L37" s="1">
        <v>2044</v>
      </c>
      <c r="M37" s="9">
        <f t="shared" si="0"/>
        <v>1</v>
      </c>
      <c r="N37" s="10">
        <f t="shared" si="1"/>
        <v>-156</v>
      </c>
      <c r="O37" s="11">
        <f t="shared" si="2"/>
        <v>-7.0909090909090908E-2</v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189.75</v>
      </c>
      <c r="L39" s="1">
        <v>1721</v>
      </c>
      <c r="M39" s="9">
        <f t="shared" si="0"/>
        <v>1</v>
      </c>
      <c r="N39" s="10">
        <f t="shared" si="1"/>
        <v>-279</v>
      </c>
      <c r="O39" s="11">
        <f t="shared" si="2"/>
        <v>-0.13950000000000001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K40" s="1">
        <v>169.61</v>
      </c>
      <c r="L40" s="1">
        <v>1997</v>
      </c>
      <c r="M40" s="9">
        <f t="shared" si="0"/>
        <v>1</v>
      </c>
      <c r="N40" s="10">
        <f t="shared" si="1"/>
        <v>-303</v>
      </c>
      <c r="O40" s="11">
        <f t="shared" si="2"/>
        <v>-0.13173913043478261</v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243.29</v>
      </c>
      <c r="L42" s="1">
        <v>2295</v>
      </c>
      <c r="M42" s="9">
        <f t="shared" si="0"/>
        <v>1</v>
      </c>
      <c r="N42" s="10">
        <f t="shared" si="1"/>
        <v>195</v>
      </c>
      <c r="O42" s="11">
        <f t="shared" si="2"/>
        <v>9.285714285714286E-2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K43" s="1">
        <v>66.290000000000006</v>
      </c>
      <c r="L43" s="1">
        <v>2190</v>
      </c>
      <c r="M43" s="9">
        <f t="shared" si="0"/>
        <v>0.32852611755377148</v>
      </c>
      <c r="N43" s="10">
        <f t="shared" si="1"/>
        <v>190</v>
      </c>
      <c r="O43" s="11">
        <f t="shared" si="2"/>
        <v>9.5000000000000001E-2</v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150.52000000000001</v>
      </c>
      <c r="L44" s="1">
        <v>2116</v>
      </c>
      <c r="M44" s="9">
        <f t="shared" si="0"/>
        <v>1</v>
      </c>
      <c r="N44" s="10">
        <f t="shared" si="1"/>
        <v>116</v>
      </c>
      <c r="O44" s="11">
        <f t="shared" si="2"/>
        <v>5.8000000000000003E-2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K45" s="1">
        <v>215</v>
      </c>
      <c r="L45" s="1">
        <v>2130</v>
      </c>
      <c r="M45" s="9">
        <f t="shared" si="0"/>
        <v>0.95491894292693758</v>
      </c>
      <c r="N45" s="10">
        <f t="shared" si="1"/>
        <v>330</v>
      </c>
      <c r="O45" s="11">
        <f t="shared" si="2"/>
        <v>0.18333333333333332</v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1635.2860861587042</v>
      </c>
      <c r="G49" s="18">
        <f>IF(F49&lt;&gt;"",F49-E49,"")</f>
        <v>-412.07986429684001</v>
      </c>
      <c r="H49" s="19">
        <f>IF(AND(F49&lt;&gt;"",E49&gt;0),(F49-E49)/E49,"")</f>
        <v>-0.20127318431038241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3556.6299999999997</v>
      </c>
      <c r="D50" s="21">
        <f>IF(B50&gt;0,C50/B50,"")</f>
        <v>0.87257208607394932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1710.3539502281653</v>
      </c>
      <c r="G50" s="23">
        <f>IF(F50&lt;&gt;"",F50-E50,"")</f>
        <v>-227.54493667894758</v>
      </c>
      <c r="H50" s="24">
        <f>IF(AND(F50&lt;&gt;"",E50&gt;0),(F50-E50)/E50,"")</f>
        <v>-0.11741837420739187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4025.2999999999997</v>
      </c>
      <c r="D51" s="27">
        <f>IF(B51&gt;0,C51/B51,"")</f>
        <v>0.88571302836270804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1701.6137182321813</v>
      </c>
      <c r="G51" s="29">
        <f>IF(F51&lt;&gt;"",F51-E51,"")</f>
        <v>-247.57390691359251</v>
      </c>
      <c r="H51" s="30">
        <f>IF(AND(F51&lt;&gt;"",E51&gt;0),(F51-E51)/E51,"")</f>
        <v>-0.12701389220808193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1217.2550816457367</v>
      </c>
      <c r="H56" s="51">
        <f t="shared" si="4"/>
        <v>-482.74491835426329</v>
      </c>
      <c r="I56" s="52">
        <f t="shared" si="5"/>
        <v>-0.28396759903191959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769.1</v>
      </c>
      <c r="E57" s="43">
        <f t="shared" si="3"/>
        <v>1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1521.491054479261</v>
      </c>
      <c r="H57" s="45">
        <f t="shared" si="4"/>
        <v>-278.50894552073896</v>
      </c>
      <c r="I57" s="46">
        <f t="shared" si="5"/>
        <v>-0.1547271919559661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269.38</v>
      </c>
      <c r="E58" s="49">
        <f t="shared" si="3"/>
        <v>0.72452931683700927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>1210.7020194520751</v>
      </c>
      <c r="H58" s="51">
        <f t="shared" si="4"/>
        <v>-541.43622691694077</v>
      </c>
      <c r="I58" s="52">
        <f t="shared" si="5"/>
        <v>-0.30901455866223326</v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302</v>
      </c>
      <c r="E59" s="43">
        <f t="shared" si="3"/>
        <v>1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>
        <f>IF(SUMPRODUCT((A$2:A$45="Pereira")*(F$2:F$45="Sj2")*(K$2:K$45&gt;0)*K$2:K$45)&gt;0,SUMPRODUCT((A$2:A$45="Pereira")*(F$2:F$45="Sj2")*(K$2:K$45&gt;0)*K$2:K$45*L$2:L$45)/SUMPRODUCT((A$2:A$45="Pereira")*(F$2:F$45="Sj2")*(K$2:K$45&gt;0)*K$2:K$45),"")</f>
        <v>1470</v>
      </c>
      <c r="H59" s="45">
        <f t="shared" si="4"/>
        <v>-430</v>
      </c>
      <c r="I59" s="46">
        <f t="shared" si="5"/>
        <v>-0.22631578947368422</v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159.26</v>
      </c>
      <c r="E60" s="49">
        <f t="shared" si="3"/>
        <v>1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1424.0248650006279</v>
      </c>
      <c r="H60" s="51">
        <f t="shared" si="4"/>
        <v>-375.97513499937213</v>
      </c>
      <c r="I60" s="52">
        <f t="shared" si="5"/>
        <v>-0.20887507499965119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141.69999999999999</v>
      </c>
      <c r="E61" s="43">
        <f t="shared" si="3"/>
        <v>1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>
        <f>IF(SUMPRODUCT((A$2:A$45="San Luis")*(F$2:F$45="Sj2")*(K$2:K$45&gt;0)*K$2:K$45)&gt;0,SUMPRODUCT((A$2:A$45="San Luis")*(F$2:F$45="Sj2")*(K$2:K$45&gt;0)*K$2:K$45*L$2:L$45)/SUMPRODUCT((A$2:A$45="San Luis")*(F$2:F$45="Sj2")*(K$2:K$45&gt;0)*K$2:K$45),"")</f>
        <v>1920.0000000000002</v>
      </c>
      <c r="H61" s="45">
        <f t="shared" si="4"/>
        <v>20</v>
      </c>
      <c r="I61" s="46">
        <f t="shared" si="5"/>
        <v>1.0526315789473682E-2</v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494.53000000000003</v>
      </c>
      <c r="E62" s="49">
        <f t="shared" si="3"/>
        <v>1.0001011163242195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1434.3813317695588</v>
      </c>
      <c r="H62" s="51">
        <f t="shared" si="4"/>
        <v>-488.06042522769076</v>
      </c>
      <c r="I62" s="52">
        <f t="shared" si="5"/>
        <v>-0.25387527265846266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1420.66</v>
      </c>
      <c r="E63" s="43">
        <f t="shared" si="3"/>
        <v>0.77306836299920012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2065.6875607112183</v>
      </c>
      <c r="H63" s="45">
        <f t="shared" si="4"/>
        <v>7.2326526472902515</v>
      </c>
      <c r="I63" s="46">
        <f t="shared" si="5"/>
        <v>3.5136318113924074E-3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4025.3</v>
      </c>
      <c r="E64" s="56">
        <f t="shared" si="3"/>
        <v>0.88571302836270827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1701.6137182321813</v>
      </c>
      <c r="H64" s="58">
        <f t="shared" si="4"/>
        <v>-247.57390691359296</v>
      </c>
      <c r="I64" s="59">
        <f t="shared" si="5"/>
        <v>-0.12701389220808212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O72"/>
  <sheetViews>
    <sheetView topLeftCell="A20" zoomScaleNormal="100" workbookViewId="0">
      <selection activeCell="E48" sqref="E48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1" width="15.85546875" style="1" bestFit="1" customWidth="1"/>
    <col min="12" max="13" width="11.42578125" style="1"/>
    <col min="14" max="14" width="12.85546875" style="1" bestFit="1" customWidth="1"/>
    <col min="15" max="16384" width="11.42578125" style="1"/>
  </cols>
  <sheetData>
    <row r="1" spans="1:15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3" t="s">
        <v>84</v>
      </c>
      <c r="K1" s="1" t="s">
        <v>91</v>
      </c>
      <c r="L1" s="1" t="s">
        <v>66</v>
      </c>
      <c r="M1" s="1" t="s">
        <v>7</v>
      </c>
      <c r="N1" s="1" t="s">
        <v>8</v>
      </c>
      <c r="O1" s="1" t="s">
        <v>84</v>
      </c>
    </row>
    <row r="2" spans="1:15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5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5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5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5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5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5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5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5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5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5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5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5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5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5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5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5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>
        <v>58.59</v>
      </c>
      <c r="F21" s="37">
        <f t="shared" si="0"/>
        <v>0</v>
      </c>
      <c r="G21" s="38">
        <f t="shared" si="1"/>
        <v>1</v>
      </c>
      <c r="H21" s="39">
        <v>46160</v>
      </c>
      <c r="I21" s="8" t="s">
        <v>83</v>
      </c>
      <c r="J21" s="1" t="s">
        <v>88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>
        <v>41</v>
      </c>
      <c r="F22" s="37">
        <f t="shared" si="0"/>
        <v>-9.9999999999980105E-3</v>
      </c>
      <c r="G22" s="38">
        <f t="shared" si="1"/>
        <v>1.000243961941937</v>
      </c>
      <c r="H22" s="39">
        <v>46161</v>
      </c>
      <c r="I22" s="8" t="s">
        <v>83</v>
      </c>
      <c r="J22" s="1" t="s">
        <v>88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>
        <v>63.11</v>
      </c>
      <c r="F23" s="37">
        <f t="shared" si="0"/>
        <v>0</v>
      </c>
      <c r="G23" s="38">
        <f t="shared" si="1"/>
        <v>1</v>
      </c>
      <c r="H23" s="39">
        <v>46159</v>
      </c>
      <c r="I23" s="8" t="s">
        <v>83</v>
      </c>
      <c r="J23" s="1" t="s">
        <v>88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>
        <v>71.48</v>
      </c>
      <c r="F24" s="37">
        <f t="shared" si="0"/>
        <v>0</v>
      </c>
      <c r="G24" s="38">
        <f t="shared" si="1"/>
        <v>1</v>
      </c>
      <c r="H24" s="39">
        <v>46157</v>
      </c>
      <c r="I24" s="8" t="s">
        <v>83</v>
      </c>
      <c r="J24" s="1" t="s">
        <v>86</v>
      </c>
    </row>
    <row r="25" spans="1:15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5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>
        <v>31</v>
      </c>
      <c r="F27" s="37">
        <f t="shared" si="0"/>
        <v>0</v>
      </c>
      <c r="G27" s="38">
        <f t="shared" si="1"/>
        <v>1</v>
      </c>
      <c r="H27" s="39">
        <v>46158</v>
      </c>
      <c r="I27" s="8" t="s">
        <v>83</v>
      </c>
      <c r="J27" s="1" t="s">
        <v>86</v>
      </c>
    </row>
    <row r="28" spans="1:15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5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83</v>
      </c>
      <c r="J29" s="1" t="s">
        <v>86</v>
      </c>
      <c r="K29" s="1">
        <v>40</v>
      </c>
      <c r="L29" s="67">
        <f>+K29/C29</f>
        <v>0.28801843317972353</v>
      </c>
      <c r="M29" s="62">
        <v>46162</v>
      </c>
      <c r="N29" s="1" t="s">
        <v>83</v>
      </c>
      <c r="O29" s="1" t="s">
        <v>88</v>
      </c>
    </row>
    <row r="30" spans="1:15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5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5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85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85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87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85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>
        <v>120</v>
      </c>
      <c r="F48" s="37">
        <f t="shared" si="2"/>
        <v>69.75</v>
      </c>
      <c r="G48" s="38">
        <f t="shared" si="3"/>
        <v>0.6324110671936759</v>
      </c>
      <c r="H48" s="39">
        <v>46161</v>
      </c>
      <c r="I48" s="8" t="s">
        <v>89</v>
      </c>
      <c r="J48" s="1" t="s">
        <v>90</v>
      </c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1022.36</v>
      </c>
      <c r="D58" s="16">
        <f>IF(B58&gt;0,C58/B58,"")</f>
        <v>0.83400089733654204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120</v>
      </c>
      <c r="D60" s="16">
        <f>IF(B60&gt;0,C60/B60,"")</f>
        <v>9.5219958103218427E-2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1142.3600000000001</v>
      </c>
      <c r="D61" s="27">
        <f>IF(B61&gt;0,C61/B61,"")</f>
        <v>0.36764223141932123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265.18</v>
      </c>
      <c r="E68" s="21">
        <f t="shared" si="4"/>
        <v>1.000037711656673</v>
      </c>
    </row>
    <row r="69" spans="1:5" ht="15" customHeight="1" x14ac:dyDescent="0.25">
      <c r="A69" s="63" t="s">
        <v>35</v>
      </c>
      <c r="B69" s="64" t="s">
        <v>75</v>
      </c>
      <c r="C69" s="65">
        <f>SUMPRODUCT((A$2:A$55="San Luis")*(D$2:D$55="Cz")*C$2:C$55)</f>
        <v>138.88</v>
      </c>
      <c r="D69" s="65">
        <f>SUMPRODUCT((A$2:A$55="San Luis")*(D$2:D$55="Cz")*E$2:E$55)</f>
        <v>138.88</v>
      </c>
      <c r="E69" s="66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120</v>
      </c>
      <c r="E71" s="16">
        <f t="shared" si="4"/>
        <v>9.5219958103218427E-2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1142.3599999999999</v>
      </c>
      <c r="E72" s="27">
        <f t="shared" si="4"/>
        <v>0.36764223141932112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Avance cosecha</vt:lpstr>
      <vt:lpstr>Avance de siembra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2026-05-21T11:49:51Z</dcterms:modified>
  <dc:language>en-US</dc:language>
</cp:coreProperties>
</file>